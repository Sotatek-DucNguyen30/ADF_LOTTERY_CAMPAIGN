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n-functional Requirements Lis" sheetId="1" r:id="rId4"/>
    <sheet state="visible" name="Baseline Performance Metrics" sheetId="2" r:id="rId5"/>
    <sheet state="hidden" name="Baseline Performance Target Val" sheetId="3" r:id="rId6"/>
  </sheets>
  <definedNames/>
  <calcPr/>
  <extLst>
    <ext uri="GoogleSheetsCustomDataVersion2">
      <go:sheetsCustomData xmlns:go="http://customooxmlschemas.google.com/" r:id="rId7" roundtripDataChecksum="xOV6Lq4Hf2IQ7Ns7rKP9S+Y/K4tIrFiDPhlObmqixK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8">
      <text>
        <t xml:space="preserve">======
ID#AAAB-veWFkI
Duy Nguyen    (2026-07-01 04:05:18)
@quan.le2@sotatek.com 
E có update lại, có thể khách nhầm chỗ này , e sẽ confirm lại, tạm thời a lưu ý 1 chút chỗ này giúp e nha
_Assigned to quan.le2@sotatek.com_</t>
      </text>
    </comment>
  </commentList>
  <extLst>
    <ext uri="GoogleSheetsCustomDataVersion2">
      <go:sheetsCustomData xmlns:go="http://customooxmlschemas.google.com/" r:id="rId1" roundtripDataSignature="AMtx7mhBV5s5lHr4vu34py0Mv6KalXk1pQ=="/>
    </ext>
  </extLst>
</comments>
</file>

<file path=xl/sharedStrings.xml><?xml version="1.0" encoding="utf-8"?>
<sst xmlns="http://schemas.openxmlformats.org/spreadsheetml/2006/main" count="144" uniqueCount="97">
  <si>
    <t>Non-functional Requirements List</t>
  </si>
  <si>
    <t>No</t>
  </si>
  <si>
    <t>Major Item</t>
  </si>
  <si>
    <t>Feature</t>
  </si>
  <si>
    <t>Description</t>
  </si>
  <si>
    <t>Availability</t>
  </si>
  <si>
    <t>Uptime Rate</t>
  </si>
  <si>
    <t>In a year, a few hours of downtime separate from planned shutdowns is acceptable. Target uptime rate of 99.99%.</t>
  </si>
  <si>
    <t>Service Switchover Time</t>
  </si>
  <si>
    <t>For planned maintenance, a few hours of downtime is acceptable.</t>
  </si>
  <si>
    <t>Target Recovery Level</t>
  </si>
  <si>
    <t>For recovery involving data recovery, the target is recovery within one business day.</t>
  </si>
  <si>
    <t>Large-Scale Disaster</t>
  </si>
  <si>
    <t>Implement redundancy using multiple data center clusters that are physically separated within the Tokyo region.
When a failure occurs in one data center cluster, the target recovery is within one day.
* Recovery in the event of a large-scale disaster affecting the entire Tokyo region is not assumed.</t>
  </si>
  <si>
    <t>Performance and Scalability</t>
  </si>
  <si>
    <t>Performance Target</t>
  </si>
  <si>
    <t>Target values are listed in the "Baseline Performance Metrics" sheet.</t>
  </si>
  <si>
    <t>Scalability</t>
  </si>
  <si>
    <t>For the database, respond by scaling up (enhancing specifications).
For the application, respond by scaling out (increasing servers or containers).</t>
  </si>
  <si>
    <t>Operability and Maintainability</t>
  </si>
  <si>
    <t>Operating Hours</t>
  </si>
  <si>
    <t>In principle, 24-hour uninterrupted operation except for planned maintenance.</t>
  </si>
  <si>
    <t>Backup</t>
  </si>
  <si>
    <t>Database backup is performed daily at night.
* Retention period is 7 days.</t>
  </si>
  <si>
    <t>Operational Monitoring</t>
  </si>
  <si>
    <t>Monitor resource usage status and detect resource shortages.</t>
  </si>
  <si>
    <t>Manual</t>
  </si>
  <si>
    <t>Manuals are created by the responsible party.
* Guildworks provides support for creation.</t>
  </si>
  <si>
    <t>Maintenance</t>
  </si>
  <si>
    <t>If it affects daytime operations, perform maintenance work by shutting down the system.
When performing maintenance that involves system shutdown, provide advance notice from one week prior.
Also, perform it during nighttime or early morning hours when the impact is low (low operation).
If it does not affect daytime operations, maintenance work can be performed without system shutdown and notice.
* When performing maintenance involving system shutdown, display the maintenance screen.</t>
  </si>
  <si>
    <t>Supported Environment</t>
  </si>
  <si>
    <t>Support the following OS (browser) combinations:
Windows 11 (Edge)
* Conduct operation tests on supported browsers and respond if there are defects.
Operation tests are appropriately divided between both companies.</t>
  </si>
  <si>
    <t>Smartphone Support</t>
  </si>
  <si>
    <t>Only supports PC layout.</t>
  </si>
  <si>
    <t>Migratability</t>
  </si>
  <si>
    <t>Migration Method Specification</t>
  </si>
  <si>
    <t>* To be defined separately</t>
  </si>
  <si>
    <t>Migration Schedule</t>
  </si>
  <si>
    <t>Facilities and Data</t>
  </si>
  <si>
    <t>Security</t>
  </si>
  <si>
    <t>Test</t>
  </si>
  <si>
    <t>- Before public release, undergo the application vulnerability assessment and platform vulnerability assessment specified by Alpha.
- Based on the assessment results, taking into account severity, schedule, and budget, take measures sequentially.</t>
  </si>
  <si>
    <t>Baseline Performance Metrics</t>
  </si>
  <si>
    <t>Data Record Count</t>
  </si>
  <si>
    <t>Master</t>
  </si>
  <si>
    <t>Value</t>
  </si>
  <si>
    <t>Unit</t>
  </si>
  <si>
    <t>Number of Users</t>
  </si>
  <si>
    <t>Cases/Month</t>
  </si>
  <si>
    <t>Transaction</t>
  </si>
  <si>
    <t>Average</t>
  </si>
  <si>
    <t>Peak</t>
  </si>
  <si>
    <t>Number of Campaigns</t>
  </si>
  <si>
    <t>Cases/Day</t>
  </si>
  <si>
    <t>Applicant</t>
  </si>
  <si>
    <t>Winner</t>
  </si>
  <si>
    <t>Number of Receipts</t>
  </si>
  <si>
    <t>Sheets/Month</t>
  </si>
  <si>
    <t>Sheets/Day</t>
  </si>
  <si>
    <t>* Campaigns for the month may be concentrated at the end of the month. However, it is not mandatory and operations will be distributed according to acceptable load.</t>
  </si>
  <si>
    <t>Processing Count</t>
  </si>
  <si>
    <t>Cases/Time</t>
  </si>
  <si>
    <t>* Example: Rokko Butter's Marvel Campaign</t>
  </si>
  <si>
    <t>Number of Application Receipts</t>
  </si>
  <si>
    <t>Sheets/Time</t>
  </si>
  <si>
    <t>* Example: Toyo Rice's Kinginmai Campaign</t>
  </si>
  <si>
    <t>Number of Winning Receipts</t>
  </si>
  <si>
    <t>* Calculated from August 2025 performance</t>
  </si>
  <si>
    <t>Target Response Speed</t>
  </si>
  <si>
    <t>* Assumes a situation where network communication speed, bandwidth, and terminal performance are not bottlenecks.
* Refers to the speed until screen rendering.</t>
  </si>
  <si>
    <t>Overall</t>
  </si>
  <si>
    <t>Seconds (Average)</t>
  </si>
  <si>
    <t>Individual Screens, Processes</t>
  </si>
  <si>
    <t>Campaign List
(30 Records)</t>
  </si>
  <si>
    <t>Temporary Entry</t>
  </si>
  <si>
    <t>Campaign Details</t>
  </si>
  <si>
    <t>Lottery Slot List
(100 Records)</t>
  </si>
  <si>
    <t>Application List
(100 Records)</t>
  </si>
  <si>
    <t>Application List (1000 Records)</t>
  </si>
  <si>
    <t>Application Import + Lottery + Eligibility Check
(Average Time)</t>
  </si>
  <si>
    <t>Seconds(Average)</t>
  </si>
  <si>
    <t>Application Import + Lottery + Eligibility Check
(Peak Time)</t>
  </si>
  <si>
    <t>Data Volume</t>
  </si>
  <si>
    <t>Number of Counters</t>
  </si>
  <si>
    <t>Counter</t>
  </si>
  <si>
    <t>Number of Questioners</t>
  </si>
  <si>
    <t>People</t>
  </si>
  <si>
    <t>Respondent</t>
  </si>
  <si>
    <t>Concurrent Login Count</t>
  </si>
  <si>
    <t>Inquiry Count</t>
  </si>
  <si>
    <t>Cases/Hour</t>
  </si>
  <si>
    <t>DB Storage Estimate</t>
  </si>
  <si>
    <t>MB</t>
  </si>
  <si>
    <t>Inquiry</t>
  </si>
  <si>
    <t>GB</t>
  </si>
  <si>
    <t>FAQ</t>
  </si>
  <si>
    <t>Estimated Size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</si>
</sst>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0"/>
  </numFmts>
  <fonts count="12">
    <font>
      <sz val="10.0"/>
      <color rgb="FF000000"/>
      <name val="Arial"/>
      <scheme val="minor"/>
    </font>
    <font>
      <b/>
      <sz val="18.0"/>
      <color theme="1"/>
      <name val="M PLUS 1p"/>
    </font>
    <font>
      <b/>
      <sz val="10.0"/>
      <color theme="0"/>
      <name val="M PLUS 1p"/>
    </font>
    <font>
      <b/>
      <sz val="10.0"/>
      <color rgb="FFFFFFFF"/>
      <name val="M PLUS 1p"/>
    </font>
    <font>
      <sz val="10.0"/>
      <color theme="1"/>
      <name val="M PLUS 1p"/>
    </font>
    <font>
      <b/>
      <sz val="10.0"/>
      <color rgb="FF000000"/>
      <name val="M PLUS 1p"/>
    </font>
    <font/>
    <font>
      <b/>
      <sz val="14.0"/>
      <color theme="1"/>
      <name val="M PLUS 1p"/>
    </font>
    <font>
      <u/>
      <sz val="14.0"/>
      <color theme="1"/>
      <name val="M PLUS 1p"/>
    </font>
    <font>
      <sz val="10.0"/>
      <color rgb="FF000000"/>
      <name val="M PLUS 1p"/>
    </font>
    <font>
      <u/>
      <sz val="14.0"/>
      <color rgb="FF000000"/>
      <name val="M PLUS 1p"/>
    </font>
    <font>
      <sz val="10.0"/>
      <color theme="0"/>
      <name val="M PLUS 1p"/>
    </font>
  </fonts>
  <fills count="7">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FFFF00"/>
        <bgColor rgb="FFFFFF00"/>
      </patternFill>
    </fill>
    <fill>
      <patternFill patternType="solid">
        <fgColor rgb="FFEF7B00"/>
        <bgColor rgb="FFEF7B00"/>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top style="thin">
        <color rgb="FF000000"/>
      </top>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vertical="top"/>
    </xf>
    <xf borderId="1" fillId="2" fontId="5" numFmtId="0" xfId="0" applyAlignment="1" applyBorder="1" applyFill="1" applyFont="1">
      <alignment horizontal="center" vertical="center"/>
    </xf>
    <xf borderId="1" fillId="0" fontId="4" numFmtId="0" xfId="0" applyAlignment="1" applyBorder="1" applyFont="1">
      <alignment vertical="top"/>
    </xf>
    <xf borderId="2" fillId="0" fontId="4" numFmtId="0" xfId="0" applyAlignment="1" applyBorder="1" applyFont="1">
      <alignment vertical="top"/>
    </xf>
    <xf borderId="1" fillId="0" fontId="4" numFmtId="0" xfId="0" applyAlignment="1" applyBorder="1" applyFont="1">
      <alignment shrinkToFit="0" vertical="top" wrapText="1"/>
    </xf>
    <xf borderId="3" fillId="0" fontId="4" numFmtId="0" xfId="0" applyAlignment="1" applyBorder="1" applyFont="1">
      <alignment vertical="top"/>
    </xf>
    <xf borderId="4" fillId="0" fontId="4" numFmtId="0" xfId="0" applyAlignment="1" applyBorder="1" applyFont="1">
      <alignment vertical="top"/>
    </xf>
    <xf borderId="2" fillId="0" fontId="4" numFmtId="0" xfId="0" applyAlignment="1" applyBorder="1" applyFont="1">
      <alignment shrinkToFit="0" vertical="top" wrapText="1"/>
    </xf>
    <xf borderId="3" fillId="0" fontId="6" numFmtId="0" xfId="0" applyBorder="1" applyFont="1"/>
    <xf borderId="4" fillId="0" fontId="6" numFmtId="0" xfId="0" applyBorder="1" applyFont="1"/>
    <xf borderId="0" fillId="0" fontId="1" numFmtId="0" xfId="0" applyAlignment="1" applyFont="1">
      <alignment vertical="center"/>
    </xf>
    <xf borderId="0" fillId="0" fontId="4" numFmtId="0" xfId="0" applyAlignment="1" applyFont="1">
      <alignment vertical="center"/>
    </xf>
    <xf borderId="0" fillId="0" fontId="7" numFmtId="0" xfId="0" applyAlignment="1" applyFont="1">
      <alignment vertical="center"/>
    </xf>
    <xf borderId="0" fillId="0" fontId="8" numFmtId="0" xfId="0" applyAlignment="1" applyFont="1">
      <alignment vertical="center"/>
    </xf>
    <xf borderId="0" fillId="0" fontId="4" numFmtId="0" xfId="0" applyAlignment="1" applyFont="1">
      <alignment horizontal="center" vertical="center"/>
    </xf>
    <xf borderId="1" fillId="2" fontId="4" numFmtId="0" xfId="0" applyAlignment="1" applyBorder="1" applyFont="1">
      <alignment horizontal="center" vertical="center"/>
    </xf>
    <xf borderId="1" fillId="3" fontId="5" numFmtId="0" xfId="0" applyAlignment="1" applyBorder="1" applyFill="1" applyFont="1">
      <alignment vertical="center"/>
    </xf>
    <xf borderId="1" fillId="4" fontId="4" numFmtId="0" xfId="0" applyAlignment="1" applyBorder="1" applyFill="1" applyFont="1">
      <alignment vertical="center"/>
    </xf>
    <xf borderId="1" fillId="0" fontId="4" numFmtId="0" xfId="0" applyAlignment="1" applyBorder="1" applyFont="1">
      <alignment vertical="center"/>
    </xf>
    <xf borderId="2" fillId="2" fontId="4" numFmtId="0" xfId="0" applyAlignment="1" applyBorder="1" applyFont="1">
      <alignment horizontal="center" vertical="center"/>
    </xf>
    <xf borderId="5" fillId="2" fontId="4" numFmtId="0" xfId="0" applyAlignment="1" applyBorder="1" applyFont="1">
      <alignment horizontal="center" vertical="center"/>
    </xf>
    <xf borderId="6" fillId="0" fontId="6" numFmtId="0" xfId="0" applyBorder="1" applyFont="1"/>
    <xf borderId="7" fillId="0" fontId="6" numFmtId="0" xfId="0" applyBorder="1" applyFont="1"/>
    <xf borderId="1" fillId="3" fontId="9" numFmtId="0" xfId="0" applyAlignment="1" applyBorder="1" applyFont="1">
      <alignment vertical="center"/>
    </xf>
    <xf borderId="1" fillId="4" fontId="9" numFmtId="0" xfId="0" applyAlignment="1" applyBorder="1" applyFont="1">
      <alignment vertical="center"/>
    </xf>
    <xf borderId="1" fillId="4" fontId="4" numFmtId="3" xfId="0" applyAlignment="1" applyBorder="1" applyFont="1" applyNumberFormat="1">
      <alignment vertical="center"/>
    </xf>
    <xf borderId="8" fillId="4" fontId="9" numFmtId="3" xfId="0" applyAlignment="1" applyBorder="1" applyFont="1" applyNumberFormat="1">
      <alignment vertical="center"/>
    </xf>
    <xf borderId="0" fillId="0" fontId="10" numFmtId="164" xfId="0" applyAlignment="1" applyFont="1" applyNumberFormat="1">
      <alignment vertical="center"/>
    </xf>
    <xf borderId="0" fillId="0" fontId="9" numFmtId="164" xfId="0" applyAlignment="1" applyFont="1" applyNumberFormat="1">
      <alignment vertical="center"/>
    </xf>
    <xf borderId="0" fillId="0" fontId="9" numFmtId="0" xfId="0" applyAlignment="1" applyFont="1">
      <alignment vertical="center"/>
    </xf>
    <xf borderId="1" fillId="4" fontId="9" numFmtId="3" xfId="0" applyAlignment="1" applyBorder="1" applyFont="1" applyNumberFormat="1">
      <alignment vertical="center"/>
    </xf>
    <xf borderId="1" fillId="0" fontId="9" numFmtId="0" xfId="0" applyAlignment="1" applyBorder="1" applyFont="1">
      <alignment vertical="center"/>
    </xf>
    <xf borderId="0" fillId="0" fontId="4" numFmtId="0" xfId="0" applyAlignment="1" applyFont="1">
      <alignment shrinkToFit="0" vertical="center" wrapText="1"/>
    </xf>
    <xf borderId="1" fillId="3" fontId="4" numFmtId="0" xfId="0" applyAlignment="1" applyBorder="1" applyFont="1">
      <alignment shrinkToFit="0" vertical="center" wrapText="1"/>
    </xf>
    <xf borderId="1" fillId="3" fontId="4" numFmtId="0" xfId="0" applyAlignment="1" applyBorder="1" applyFont="1">
      <alignment vertical="center"/>
    </xf>
    <xf borderId="1" fillId="0" fontId="4" numFmtId="0" xfId="0" applyAlignment="1" applyBorder="1" applyFont="1">
      <alignment readingOrder="0" vertical="center"/>
    </xf>
    <xf borderId="0" fillId="0" fontId="7" numFmtId="0" xfId="0" applyFont="1"/>
    <xf borderId="0" fillId="0" fontId="4" numFmtId="0" xfId="0" applyFont="1"/>
    <xf borderId="1" fillId="5" fontId="11" numFmtId="0" xfId="0" applyAlignment="1" applyBorder="1" applyFill="1" applyFont="1">
      <alignment vertical="center"/>
    </xf>
    <xf borderId="1" fillId="0" fontId="4" numFmtId="3" xfId="0" applyAlignment="1" applyBorder="1" applyFont="1" applyNumberFormat="1">
      <alignment vertical="center"/>
    </xf>
    <xf borderId="9" fillId="5" fontId="11" numFmtId="0" xfId="0" applyAlignment="1" applyBorder="1" applyFont="1">
      <alignment vertical="center"/>
    </xf>
    <xf borderId="2" fillId="0" fontId="4" numFmtId="3" xfId="0" applyAlignment="1" applyBorder="1" applyFont="1" applyNumberFormat="1">
      <alignment vertical="center"/>
    </xf>
    <xf borderId="2" fillId="0" fontId="4" numFmtId="0" xfId="0" applyAlignment="1" applyBorder="1" applyFont="1">
      <alignment vertical="center"/>
    </xf>
    <xf borderId="1" fillId="0" fontId="9" numFmtId="164" xfId="0" applyAlignment="1" applyBorder="1" applyFont="1" applyNumberFormat="1">
      <alignment vertical="center"/>
    </xf>
    <xf borderId="0" fillId="0" fontId="9" numFmtId="0" xfId="0" applyFont="1"/>
    <xf borderId="5" fillId="0" fontId="4" numFmtId="0" xfId="0" applyAlignment="1" applyBorder="1" applyFont="1">
      <alignment vertical="center"/>
    </xf>
    <xf borderId="6" fillId="0" fontId="4" numFmtId="3" xfId="0" applyAlignment="1" applyBorder="1" applyFont="1" applyNumberFormat="1">
      <alignment vertical="center"/>
    </xf>
    <xf borderId="1" fillId="0" fontId="4" numFmtId="165" xfId="0" applyAlignment="1" applyBorder="1" applyFont="1" applyNumberFormat="1">
      <alignment vertical="center"/>
    </xf>
    <xf borderId="8" fillId="6" fontId="4" numFmtId="165" xfId="0" applyAlignment="1" applyBorder="1" applyFill="1" applyFont="1" applyNumberFormat="1">
      <alignment vertical="center"/>
    </xf>
    <xf borderId="10" fillId="0" fontId="4"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590550</xdr:colOff>
      <xdr:row>2</xdr:row>
      <xdr:rowOff>209550</xdr:rowOff>
    </xdr:from>
    <xdr:ext cx="4829175" cy="457200"/>
    <xdr:sp>
      <xdr:nvSpPr>
        <xdr:cNvPr id="3" name="Shape 3"/>
        <xdr:cNvSpPr txBox="1"/>
      </xdr:nvSpPr>
      <xdr:spPr>
        <a:xfrm>
          <a:off x="2936175" y="3556163"/>
          <a:ext cx="4819650" cy="447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Arial"/>
              <a:ea typeface="Arial"/>
              <a:cs typeface="Arial"/>
              <a:sym typeface="Arial"/>
            </a:rPr>
            <a:t>・IW・OCR・マイレージ・オープン・シリアル応募は除外</a:t>
          </a:r>
          <a:endParaRPr sz="1100"/>
        </a:p>
        <a:p>
          <a:pPr indent="0" lvl="0" marL="0" rtl="0" algn="l">
            <a:spcBef>
              <a:spcPts val="0"/>
            </a:spcBef>
            <a:spcAft>
              <a:spcPts val="0"/>
            </a:spcAft>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75"/>
    <col customWidth="1" min="2" max="2" width="26.0"/>
    <col customWidth="1" min="3" max="3" width="26.13"/>
    <col customWidth="1" min="4" max="4" width="74.75"/>
    <col customWidth="1" min="5" max="26" width="12.5"/>
  </cols>
  <sheetData>
    <row r="1" ht="24.0" customHeight="1">
      <c r="A1" s="1" t="s">
        <v>0</v>
      </c>
      <c r="B1" s="2"/>
      <c r="C1" s="2"/>
      <c r="D1" s="3"/>
      <c r="E1" s="4"/>
      <c r="F1" s="4"/>
      <c r="G1" s="4"/>
      <c r="H1" s="4"/>
      <c r="I1" s="4"/>
      <c r="J1" s="4"/>
      <c r="K1" s="4"/>
      <c r="L1" s="4"/>
      <c r="M1" s="4"/>
      <c r="N1" s="4"/>
      <c r="O1" s="4"/>
      <c r="P1" s="4"/>
      <c r="Q1" s="4"/>
      <c r="R1" s="4"/>
      <c r="S1" s="4"/>
      <c r="T1" s="4"/>
      <c r="U1" s="4"/>
      <c r="V1" s="4"/>
      <c r="W1" s="4"/>
      <c r="X1" s="4"/>
      <c r="Y1" s="4"/>
      <c r="Z1" s="4"/>
    </row>
    <row r="2" ht="24.0" customHeight="1">
      <c r="A2" s="5" t="s">
        <v>1</v>
      </c>
      <c r="B2" s="5" t="s">
        <v>2</v>
      </c>
      <c r="C2" s="5" t="s">
        <v>3</v>
      </c>
      <c r="D2" s="5" t="s">
        <v>4</v>
      </c>
      <c r="E2" s="4"/>
      <c r="F2" s="4"/>
      <c r="G2" s="4"/>
      <c r="H2" s="4"/>
      <c r="I2" s="4"/>
      <c r="J2" s="4"/>
      <c r="K2" s="4"/>
      <c r="L2" s="4"/>
      <c r="M2" s="4"/>
      <c r="N2" s="4"/>
      <c r="O2" s="4"/>
      <c r="P2" s="4"/>
      <c r="Q2" s="4"/>
      <c r="R2" s="4"/>
      <c r="S2" s="4"/>
      <c r="T2" s="4"/>
      <c r="U2" s="4"/>
      <c r="V2" s="4"/>
      <c r="W2" s="4"/>
      <c r="X2" s="4"/>
      <c r="Y2" s="4"/>
      <c r="Z2" s="4"/>
    </row>
    <row r="3">
      <c r="A3" s="6">
        <f t="shared" ref="A3:A19" si="1">ROW()-2</f>
        <v>1</v>
      </c>
      <c r="B3" s="7" t="s">
        <v>5</v>
      </c>
      <c r="C3" s="6" t="s">
        <v>6</v>
      </c>
      <c r="D3" s="8" t="s">
        <v>7</v>
      </c>
      <c r="E3" s="4"/>
      <c r="F3" s="4"/>
      <c r="G3" s="4"/>
      <c r="H3" s="4"/>
      <c r="I3" s="4"/>
      <c r="J3" s="4"/>
      <c r="K3" s="4"/>
      <c r="L3" s="4"/>
      <c r="M3" s="4"/>
      <c r="N3" s="4"/>
      <c r="O3" s="4"/>
      <c r="P3" s="4"/>
      <c r="Q3" s="4"/>
      <c r="R3" s="4"/>
      <c r="S3" s="4"/>
      <c r="T3" s="4"/>
      <c r="U3" s="4"/>
      <c r="V3" s="4"/>
      <c r="W3" s="4"/>
      <c r="X3" s="4"/>
      <c r="Y3" s="4"/>
      <c r="Z3" s="4"/>
    </row>
    <row r="4" ht="21.0" customHeight="1">
      <c r="A4" s="6">
        <f t="shared" si="1"/>
        <v>2</v>
      </c>
      <c r="B4" s="9"/>
      <c r="C4" s="6" t="s">
        <v>8</v>
      </c>
      <c r="D4" s="6" t="s">
        <v>9</v>
      </c>
      <c r="E4" s="4"/>
      <c r="F4" s="4"/>
      <c r="G4" s="4"/>
      <c r="H4" s="4"/>
      <c r="I4" s="4"/>
      <c r="J4" s="4"/>
      <c r="K4" s="4"/>
      <c r="L4" s="4"/>
      <c r="M4" s="4"/>
      <c r="N4" s="4"/>
      <c r="O4" s="4"/>
      <c r="P4" s="4"/>
      <c r="Q4" s="4"/>
      <c r="R4" s="4"/>
      <c r="S4" s="4"/>
      <c r="T4" s="4"/>
      <c r="U4" s="4"/>
      <c r="V4" s="4"/>
      <c r="W4" s="4"/>
      <c r="X4" s="4"/>
      <c r="Y4" s="4"/>
      <c r="Z4" s="4"/>
    </row>
    <row r="5" ht="21.0" customHeight="1">
      <c r="A5" s="6">
        <f t="shared" si="1"/>
        <v>3</v>
      </c>
      <c r="B5" s="9"/>
      <c r="C5" s="6" t="s">
        <v>10</v>
      </c>
      <c r="D5" s="6" t="s">
        <v>11</v>
      </c>
      <c r="E5" s="4"/>
      <c r="F5" s="4"/>
      <c r="G5" s="4"/>
      <c r="H5" s="4"/>
      <c r="I5" s="4"/>
      <c r="J5" s="4"/>
      <c r="K5" s="4"/>
      <c r="L5" s="4"/>
      <c r="M5" s="4"/>
      <c r="N5" s="4"/>
      <c r="O5" s="4"/>
      <c r="P5" s="4"/>
      <c r="Q5" s="4"/>
      <c r="R5" s="4"/>
      <c r="S5" s="4"/>
      <c r="T5" s="4"/>
      <c r="U5" s="4"/>
      <c r="V5" s="4"/>
      <c r="W5" s="4"/>
      <c r="X5" s="4"/>
      <c r="Y5" s="4"/>
      <c r="Z5" s="4"/>
    </row>
    <row r="6">
      <c r="A6" s="6">
        <f t="shared" si="1"/>
        <v>4</v>
      </c>
      <c r="B6" s="10"/>
      <c r="C6" s="6" t="s">
        <v>12</v>
      </c>
      <c r="D6" s="8" t="s">
        <v>13</v>
      </c>
      <c r="E6" s="4"/>
      <c r="F6" s="4"/>
      <c r="G6" s="4"/>
      <c r="H6" s="4"/>
      <c r="I6" s="4"/>
      <c r="J6" s="4"/>
      <c r="K6" s="4"/>
      <c r="L6" s="4"/>
      <c r="M6" s="4"/>
      <c r="N6" s="4"/>
      <c r="O6" s="4"/>
      <c r="P6" s="4"/>
      <c r="Q6" s="4"/>
      <c r="R6" s="4"/>
      <c r="S6" s="4"/>
      <c r="T6" s="4"/>
      <c r="U6" s="4"/>
      <c r="V6" s="4"/>
      <c r="W6" s="4"/>
      <c r="X6" s="4"/>
      <c r="Y6" s="4"/>
      <c r="Z6" s="4"/>
    </row>
    <row r="7" ht="21.0" customHeight="1">
      <c r="A7" s="6">
        <f t="shared" si="1"/>
        <v>5</v>
      </c>
      <c r="B7" s="7" t="s">
        <v>14</v>
      </c>
      <c r="C7" s="6" t="s">
        <v>15</v>
      </c>
      <c r="D7" s="6" t="s">
        <v>16</v>
      </c>
      <c r="E7" s="4"/>
      <c r="F7" s="4"/>
      <c r="G7" s="4"/>
      <c r="H7" s="4"/>
      <c r="I7" s="4"/>
      <c r="J7" s="4"/>
      <c r="K7" s="4"/>
      <c r="L7" s="4"/>
      <c r="M7" s="4"/>
      <c r="N7" s="4"/>
      <c r="O7" s="4"/>
      <c r="P7" s="4"/>
      <c r="Q7" s="4"/>
      <c r="R7" s="4"/>
      <c r="S7" s="4"/>
      <c r="T7" s="4"/>
      <c r="U7" s="4"/>
      <c r="V7" s="4"/>
      <c r="W7" s="4"/>
      <c r="X7" s="4"/>
      <c r="Y7" s="4"/>
      <c r="Z7" s="4"/>
    </row>
    <row r="8" ht="31.5" customHeight="1">
      <c r="A8" s="6">
        <f t="shared" si="1"/>
        <v>6</v>
      </c>
      <c r="B8" s="10"/>
      <c r="C8" s="6" t="s">
        <v>17</v>
      </c>
      <c r="D8" s="8" t="s">
        <v>18</v>
      </c>
      <c r="E8" s="4"/>
      <c r="F8" s="4"/>
      <c r="G8" s="4"/>
      <c r="H8" s="4"/>
      <c r="I8" s="4"/>
      <c r="J8" s="4"/>
      <c r="K8" s="4"/>
      <c r="L8" s="4"/>
      <c r="M8" s="4"/>
      <c r="N8" s="4"/>
      <c r="O8" s="4"/>
      <c r="P8" s="4"/>
      <c r="Q8" s="4"/>
      <c r="R8" s="4"/>
      <c r="S8" s="4"/>
      <c r="T8" s="4"/>
      <c r="U8" s="4"/>
      <c r="V8" s="4"/>
      <c r="W8" s="4"/>
      <c r="X8" s="4"/>
      <c r="Y8" s="4"/>
      <c r="Z8" s="4"/>
    </row>
    <row r="9" ht="21.0" customHeight="1">
      <c r="A9" s="6">
        <f t="shared" si="1"/>
        <v>7</v>
      </c>
      <c r="B9" s="7" t="s">
        <v>19</v>
      </c>
      <c r="C9" s="6" t="s">
        <v>20</v>
      </c>
      <c r="D9" s="8" t="s">
        <v>21</v>
      </c>
      <c r="E9" s="4"/>
      <c r="F9" s="4"/>
      <c r="G9" s="4"/>
      <c r="H9" s="4"/>
      <c r="I9" s="4"/>
      <c r="J9" s="4"/>
      <c r="K9" s="4"/>
      <c r="L9" s="4"/>
      <c r="M9" s="4"/>
      <c r="N9" s="4"/>
      <c r="O9" s="4"/>
      <c r="P9" s="4"/>
      <c r="Q9" s="4"/>
      <c r="R9" s="4"/>
      <c r="S9" s="4"/>
      <c r="T9" s="4"/>
      <c r="U9" s="4"/>
      <c r="V9" s="4"/>
      <c r="W9" s="4"/>
      <c r="X9" s="4"/>
      <c r="Y9" s="4"/>
      <c r="Z9" s="4"/>
    </row>
    <row r="10" ht="33.75" customHeight="1">
      <c r="A10" s="6">
        <f t="shared" si="1"/>
        <v>8</v>
      </c>
      <c r="B10" s="9"/>
      <c r="C10" s="6" t="s">
        <v>22</v>
      </c>
      <c r="D10" s="8" t="s">
        <v>23</v>
      </c>
      <c r="E10" s="4"/>
      <c r="F10" s="4"/>
      <c r="G10" s="4"/>
      <c r="H10" s="4"/>
      <c r="I10" s="4"/>
      <c r="J10" s="4"/>
      <c r="K10" s="4"/>
      <c r="L10" s="4"/>
      <c r="M10" s="4"/>
      <c r="N10" s="4"/>
      <c r="O10" s="4"/>
      <c r="P10" s="4"/>
      <c r="Q10" s="4"/>
      <c r="R10" s="4"/>
      <c r="S10" s="4"/>
      <c r="T10" s="4"/>
      <c r="U10" s="4"/>
      <c r="V10" s="4"/>
      <c r="W10" s="4"/>
      <c r="X10" s="4"/>
      <c r="Y10" s="4"/>
      <c r="Z10" s="4"/>
    </row>
    <row r="11" ht="21.0" customHeight="1">
      <c r="A11" s="6">
        <f t="shared" si="1"/>
        <v>9</v>
      </c>
      <c r="B11" s="9"/>
      <c r="C11" s="6" t="s">
        <v>24</v>
      </c>
      <c r="D11" s="6" t="s">
        <v>25</v>
      </c>
      <c r="E11" s="4"/>
      <c r="F11" s="4"/>
      <c r="G11" s="4"/>
      <c r="H11" s="4"/>
      <c r="I11" s="4"/>
      <c r="J11" s="4"/>
      <c r="K11" s="4"/>
      <c r="L11" s="4"/>
      <c r="M11" s="4"/>
      <c r="N11" s="4"/>
      <c r="O11" s="4"/>
      <c r="P11" s="4"/>
      <c r="Q11" s="4"/>
      <c r="R11" s="4"/>
      <c r="S11" s="4"/>
      <c r="T11" s="4"/>
      <c r="U11" s="4"/>
      <c r="V11" s="4"/>
      <c r="W11" s="4"/>
      <c r="X11" s="4"/>
      <c r="Y11" s="4"/>
      <c r="Z11" s="4"/>
    </row>
    <row r="12" ht="33.75" customHeight="1">
      <c r="A12" s="6">
        <f t="shared" si="1"/>
        <v>10</v>
      </c>
      <c r="B12" s="9"/>
      <c r="C12" s="6" t="s">
        <v>26</v>
      </c>
      <c r="D12" s="8" t="s">
        <v>27</v>
      </c>
      <c r="E12" s="4"/>
      <c r="F12" s="4"/>
      <c r="G12" s="4"/>
      <c r="H12" s="4"/>
      <c r="I12" s="4"/>
      <c r="J12" s="4"/>
      <c r="K12" s="4"/>
      <c r="L12" s="4"/>
      <c r="M12" s="4"/>
      <c r="N12" s="4"/>
      <c r="O12" s="4"/>
      <c r="P12" s="4"/>
      <c r="Q12" s="4"/>
      <c r="R12" s="4"/>
      <c r="S12" s="4"/>
      <c r="T12" s="4"/>
      <c r="U12" s="4"/>
      <c r="V12" s="4"/>
      <c r="W12" s="4"/>
      <c r="X12" s="4"/>
      <c r="Y12" s="4"/>
      <c r="Z12" s="4"/>
    </row>
    <row r="13" ht="72.75" customHeight="1">
      <c r="A13" s="6">
        <f t="shared" si="1"/>
        <v>11</v>
      </c>
      <c r="B13" s="9"/>
      <c r="C13" s="6" t="s">
        <v>28</v>
      </c>
      <c r="D13" s="8" t="s">
        <v>29</v>
      </c>
      <c r="E13" s="4"/>
      <c r="F13" s="4"/>
      <c r="G13" s="4"/>
      <c r="H13" s="4"/>
      <c r="I13" s="4"/>
      <c r="J13" s="4"/>
      <c r="K13" s="4"/>
      <c r="L13" s="4"/>
      <c r="M13" s="4"/>
      <c r="N13" s="4"/>
      <c r="O13" s="4"/>
      <c r="P13" s="4"/>
      <c r="Q13" s="4"/>
      <c r="R13" s="4"/>
      <c r="S13" s="4"/>
      <c r="T13" s="4"/>
      <c r="U13" s="4"/>
      <c r="V13" s="4"/>
      <c r="W13" s="4"/>
      <c r="X13" s="4"/>
      <c r="Y13" s="4"/>
      <c r="Z13" s="4"/>
    </row>
    <row r="14" ht="72.75" customHeight="1">
      <c r="A14" s="6">
        <f t="shared" si="1"/>
        <v>12</v>
      </c>
      <c r="B14" s="9"/>
      <c r="C14" s="6" t="s">
        <v>30</v>
      </c>
      <c r="D14" s="8" t="s">
        <v>31</v>
      </c>
      <c r="E14" s="4"/>
      <c r="F14" s="4"/>
      <c r="G14" s="4"/>
      <c r="H14" s="4"/>
      <c r="I14" s="4"/>
      <c r="J14" s="4"/>
      <c r="K14" s="4"/>
      <c r="L14" s="4"/>
      <c r="M14" s="4"/>
      <c r="N14" s="4"/>
      <c r="O14" s="4"/>
      <c r="P14" s="4"/>
      <c r="Q14" s="4"/>
      <c r="R14" s="4"/>
      <c r="S14" s="4"/>
      <c r="T14" s="4"/>
      <c r="U14" s="4"/>
      <c r="V14" s="4"/>
      <c r="W14" s="4"/>
      <c r="X14" s="4"/>
      <c r="Y14" s="4"/>
      <c r="Z14" s="4"/>
    </row>
    <row r="15" ht="21.0" customHeight="1">
      <c r="A15" s="6">
        <f t="shared" si="1"/>
        <v>13</v>
      </c>
      <c r="B15" s="10"/>
      <c r="C15" s="6" t="s">
        <v>32</v>
      </c>
      <c r="D15" s="8" t="s">
        <v>33</v>
      </c>
      <c r="E15" s="4"/>
      <c r="F15" s="4"/>
      <c r="G15" s="4"/>
      <c r="H15" s="4"/>
      <c r="I15" s="4"/>
      <c r="J15" s="4"/>
      <c r="K15" s="4"/>
      <c r="L15" s="4"/>
      <c r="M15" s="4"/>
      <c r="N15" s="4"/>
      <c r="O15" s="4"/>
      <c r="P15" s="4"/>
      <c r="Q15" s="4"/>
      <c r="R15" s="4"/>
      <c r="S15" s="4"/>
      <c r="T15" s="4"/>
      <c r="U15" s="4"/>
      <c r="V15" s="4"/>
      <c r="W15" s="4"/>
      <c r="X15" s="4"/>
      <c r="Y15" s="4"/>
      <c r="Z15" s="4"/>
    </row>
    <row r="16" ht="21.0" customHeight="1">
      <c r="A16" s="6">
        <f t="shared" si="1"/>
        <v>14</v>
      </c>
      <c r="B16" s="7" t="s">
        <v>34</v>
      </c>
      <c r="C16" s="6" t="s">
        <v>35</v>
      </c>
      <c r="D16" s="11" t="s">
        <v>36</v>
      </c>
      <c r="E16" s="4"/>
      <c r="F16" s="4"/>
      <c r="G16" s="4"/>
      <c r="H16" s="4"/>
      <c r="I16" s="4"/>
      <c r="J16" s="4"/>
      <c r="K16" s="4"/>
      <c r="L16" s="4"/>
      <c r="M16" s="4"/>
      <c r="N16" s="4"/>
      <c r="O16" s="4"/>
      <c r="P16" s="4"/>
      <c r="Q16" s="4"/>
      <c r="R16" s="4"/>
      <c r="S16" s="4"/>
      <c r="T16" s="4"/>
      <c r="U16" s="4"/>
      <c r="V16" s="4"/>
      <c r="W16" s="4"/>
      <c r="X16" s="4"/>
      <c r="Y16" s="4"/>
      <c r="Z16" s="4"/>
    </row>
    <row r="17" ht="21.0" customHeight="1">
      <c r="A17" s="6">
        <f t="shared" si="1"/>
        <v>15</v>
      </c>
      <c r="B17" s="9"/>
      <c r="C17" s="6" t="s">
        <v>37</v>
      </c>
      <c r="D17" s="12"/>
      <c r="E17" s="4"/>
      <c r="F17" s="4"/>
      <c r="G17" s="4"/>
      <c r="H17" s="4"/>
      <c r="I17" s="4"/>
      <c r="J17" s="4"/>
      <c r="K17" s="4"/>
      <c r="L17" s="4"/>
      <c r="M17" s="4"/>
      <c r="N17" s="4"/>
      <c r="O17" s="4"/>
      <c r="P17" s="4"/>
      <c r="Q17" s="4"/>
      <c r="R17" s="4"/>
      <c r="S17" s="4"/>
      <c r="T17" s="4"/>
      <c r="U17" s="4"/>
      <c r="V17" s="4"/>
      <c r="W17" s="4"/>
      <c r="X17" s="4"/>
      <c r="Y17" s="4"/>
      <c r="Z17" s="4"/>
    </row>
    <row r="18" ht="21.0" customHeight="1">
      <c r="A18" s="6">
        <f t="shared" si="1"/>
        <v>16</v>
      </c>
      <c r="B18" s="10"/>
      <c r="C18" s="6" t="s">
        <v>38</v>
      </c>
      <c r="D18" s="13"/>
      <c r="E18" s="4"/>
      <c r="F18" s="4"/>
      <c r="G18" s="4"/>
      <c r="H18" s="4"/>
      <c r="I18" s="4"/>
      <c r="J18" s="4"/>
      <c r="K18" s="4"/>
      <c r="L18" s="4"/>
      <c r="M18" s="4"/>
      <c r="N18" s="4"/>
      <c r="O18" s="4"/>
      <c r="P18" s="4"/>
      <c r="Q18" s="4"/>
      <c r="R18" s="4"/>
      <c r="S18" s="4"/>
      <c r="T18" s="4"/>
      <c r="U18" s="4"/>
      <c r="V18" s="4"/>
      <c r="W18" s="4"/>
      <c r="X18" s="4"/>
      <c r="Y18" s="4"/>
      <c r="Z18" s="4"/>
    </row>
    <row r="19" ht="48.0" customHeight="1">
      <c r="A19" s="6">
        <f t="shared" si="1"/>
        <v>17</v>
      </c>
      <c r="B19" s="6" t="s">
        <v>39</v>
      </c>
      <c r="C19" s="6" t="s">
        <v>40</v>
      </c>
      <c r="D19" s="8" t="s">
        <v>41</v>
      </c>
      <c r="E19" s="4"/>
      <c r="F19" s="4"/>
      <c r="G19" s="4"/>
      <c r="H19" s="4"/>
      <c r="I19" s="4"/>
      <c r="J19" s="4"/>
      <c r="K19" s="4"/>
      <c r="L19" s="4"/>
      <c r="M19" s="4"/>
      <c r="N19" s="4"/>
      <c r="O19" s="4"/>
      <c r="P19" s="4"/>
      <c r="Q19" s="4"/>
      <c r="R19" s="4"/>
      <c r="S19" s="4"/>
      <c r="T19" s="4"/>
      <c r="U19" s="4"/>
      <c r="V19" s="4"/>
      <c r="W19" s="4"/>
      <c r="X19" s="4"/>
      <c r="Y19" s="4"/>
      <c r="Z19" s="4"/>
    </row>
    <row r="20"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6:D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13"/>
    <col customWidth="1" min="2" max="2" width="8.88"/>
    <col customWidth="1" min="3" max="3" width="15.5"/>
    <col customWidth="1" min="4" max="4" width="8.88"/>
    <col customWidth="1" min="5" max="5" width="12.38"/>
    <col customWidth="1" min="6" max="25" width="9.5"/>
    <col customWidth="1" min="26" max="26" width="12.5"/>
  </cols>
  <sheetData>
    <row r="1" ht="21.75" customHeight="1">
      <c r="A1" s="14" t="s">
        <v>42</v>
      </c>
      <c r="B1" s="15"/>
      <c r="C1" s="15"/>
      <c r="D1" s="4"/>
      <c r="E1" s="4"/>
      <c r="F1" s="4"/>
      <c r="G1" s="4"/>
      <c r="H1" s="4"/>
      <c r="I1" s="4"/>
      <c r="J1" s="4"/>
      <c r="K1" s="4"/>
      <c r="L1" s="4"/>
      <c r="M1" s="4"/>
      <c r="N1" s="4"/>
      <c r="O1" s="4"/>
      <c r="P1" s="4"/>
      <c r="Q1" s="4"/>
      <c r="R1" s="4"/>
      <c r="S1" s="4"/>
      <c r="T1" s="4"/>
      <c r="U1" s="4"/>
      <c r="V1" s="4"/>
      <c r="W1" s="4"/>
      <c r="X1" s="4"/>
      <c r="Y1" s="4"/>
    </row>
    <row r="2" ht="12.75" customHeight="1">
      <c r="A2" s="16"/>
      <c r="B2" s="15"/>
      <c r="C2" s="15"/>
      <c r="D2" s="4"/>
      <c r="E2" s="4"/>
      <c r="F2" s="4"/>
      <c r="G2" s="4"/>
      <c r="H2" s="4"/>
      <c r="I2" s="4"/>
      <c r="J2" s="4"/>
      <c r="K2" s="4"/>
      <c r="L2" s="4"/>
      <c r="M2" s="4"/>
      <c r="N2" s="4"/>
      <c r="O2" s="4"/>
      <c r="P2" s="4"/>
      <c r="Q2" s="4"/>
      <c r="R2" s="4"/>
      <c r="S2" s="4"/>
      <c r="T2" s="4"/>
      <c r="U2" s="4"/>
      <c r="V2" s="4"/>
      <c r="W2" s="4"/>
      <c r="X2" s="4"/>
      <c r="Y2" s="4"/>
    </row>
    <row r="3">
      <c r="A3" s="17" t="s">
        <v>43</v>
      </c>
      <c r="B3" s="18"/>
      <c r="C3" s="18"/>
      <c r="D3" s="4"/>
      <c r="E3" s="4"/>
      <c r="F3" s="4"/>
      <c r="G3" s="4"/>
      <c r="H3" s="4"/>
      <c r="I3" s="4"/>
      <c r="J3" s="4"/>
      <c r="K3" s="4"/>
      <c r="L3" s="4"/>
      <c r="M3" s="4"/>
      <c r="N3" s="4"/>
      <c r="O3" s="4"/>
      <c r="P3" s="4"/>
      <c r="Q3" s="4"/>
      <c r="R3" s="4"/>
      <c r="S3" s="4"/>
      <c r="T3" s="4"/>
      <c r="U3" s="4"/>
      <c r="V3" s="4"/>
      <c r="W3" s="4"/>
      <c r="X3" s="4"/>
      <c r="Y3" s="4"/>
    </row>
    <row r="4" ht="12.75" customHeight="1">
      <c r="B4" s="18"/>
      <c r="C4" s="18"/>
      <c r="D4" s="4"/>
      <c r="E4" s="4"/>
      <c r="F4" s="4"/>
      <c r="G4" s="4"/>
      <c r="H4" s="4"/>
      <c r="I4" s="4"/>
      <c r="J4" s="4"/>
      <c r="K4" s="4"/>
      <c r="L4" s="4"/>
      <c r="M4" s="4"/>
      <c r="N4" s="4"/>
      <c r="O4" s="4"/>
      <c r="P4" s="4"/>
      <c r="Q4" s="4"/>
      <c r="R4" s="4"/>
      <c r="S4" s="4"/>
      <c r="T4" s="4"/>
      <c r="U4" s="4"/>
      <c r="V4" s="4"/>
      <c r="W4" s="4"/>
      <c r="X4" s="4"/>
      <c r="Y4" s="4"/>
    </row>
    <row r="5" ht="12.75" customHeight="1">
      <c r="A5" s="19" t="s">
        <v>44</v>
      </c>
      <c r="B5" s="19" t="s">
        <v>45</v>
      </c>
      <c r="C5" s="19" t="s">
        <v>46</v>
      </c>
      <c r="D5" s="4"/>
      <c r="E5" s="4"/>
      <c r="F5" s="4"/>
      <c r="G5" s="4"/>
      <c r="H5" s="4"/>
      <c r="I5" s="4"/>
      <c r="J5" s="4"/>
      <c r="K5" s="4"/>
      <c r="L5" s="4"/>
      <c r="M5" s="4"/>
      <c r="N5" s="4"/>
      <c r="O5" s="4"/>
      <c r="P5" s="4"/>
      <c r="Q5" s="4"/>
      <c r="R5" s="4"/>
      <c r="S5" s="4"/>
      <c r="T5" s="4"/>
      <c r="U5" s="4"/>
      <c r="V5" s="4"/>
      <c r="W5" s="4"/>
      <c r="X5" s="4"/>
      <c r="Y5" s="4"/>
    </row>
    <row r="6" ht="12.75" customHeight="1">
      <c r="A6" s="20" t="s">
        <v>47</v>
      </c>
      <c r="B6" s="21">
        <v>10.0</v>
      </c>
      <c r="C6" s="22" t="s">
        <v>48</v>
      </c>
      <c r="D6" s="4"/>
      <c r="E6" s="4"/>
      <c r="F6" s="4"/>
      <c r="G6" s="4"/>
      <c r="H6" s="4"/>
      <c r="I6" s="4"/>
      <c r="J6" s="4"/>
      <c r="K6" s="4"/>
      <c r="L6" s="4"/>
      <c r="M6" s="4"/>
      <c r="N6" s="4"/>
      <c r="O6" s="4"/>
      <c r="P6" s="4"/>
      <c r="Q6" s="4"/>
      <c r="R6" s="4"/>
      <c r="S6" s="4"/>
      <c r="T6" s="4"/>
      <c r="U6" s="4"/>
      <c r="V6" s="4"/>
      <c r="W6" s="4"/>
      <c r="X6" s="4"/>
      <c r="Y6" s="4"/>
    </row>
    <row r="7" ht="12.75" customHeight="1">
      <c r="G7" s="4"/>
      <c r="H7" s="4"/>
      <c r="I7" s="4"/>
      <c r="J7" s="4"/>
      <c r="K7" s="4"/>
      <c r="L7" s="4"/>
      <c r="M7" s="4"/>
      <c r="N7" s="4"/>
      <c r="O7" s="4"/>
      <c r="P7" s="4"/>
      <c r="Q7" s="4"/>
      <c r="R7" s="4"/>
      <c r="S7" s="4"/>
      <c r="T7" s="4"/>
      <c r="U7" s="4"/>
      <c r="V7" s="4"/>
      <c r="W7" s="4"/>
      <c r="X7" s="4"/>
      <c r="Y7" s="4"/>
    </row>
    <row r="8" ht="12.75" customHeight="1">
      <c r="G8" s="4"/>
      <c r="H8" s="4"/>
      <c r="I8" s="4"/>
      <c r="J8" s="4"/>
      <c r="K8" s="4"/>
      <c r="L8" s="4"/>
      <c r="M8" s="4"/>
      <c r="N8" s="4"/>
      <c r="O8" s="4"/>
      <c r="P8" s="4"/>
      <c r="Q8" s="4"/>
      <c r="R8" s="4"/>
      <c r="S8" s="4"/>
      <c r="T8" s="4"/>
      <c r="U8" s="4"/>
      <c r="V8" s="4"/>
      <c r="W8" s="4"/>
      <c r="X8" s="4"/>
      <c r="Y8" s="4"/>
    </row>
    <row r="9" ht="12.75" customHeight="1">
      <c r="A9" s="23" t="s">
        <v>49</v>
      </c>
      <c r="B9" s="24" t="s">
        <v>50</v>
      </c>
      <c r="C9" s="25"/>
      <c r="D9" s="24" t="s">
        <v>51</v>
      </c>
      <c r="E9" s="26"/>
      <c r="F9" s="26"/>
      <c r="G9" s="25"/>
      <c r="H9" s="4"/>
      <c r="I9" s="4"/>
      <c r="J9" s="4"/>
      <c r="K9" s="4"/>
      <c r="L9" s="4"/>
      <c r="M9" s="4"/>
      <c r="N9" s="4"/>
      <c r="O9" s="4"/>
      <c r="P9" s="4"/>
      <c r="Q9" s="4"/>
      <c r="R9" s="4"/>
      <c r="S9" s="4"/>
      <c r="T9" s="4"/>
      <c r="U9" s="4"/>
      <c r="V9" s="4"/>
      <c r="W9" s="4"/>
      <c r="X9" s="4"/>
      <c r="Y9" s="4"/>
    </row>
    <row r="10" ht="12.75" customHeight="1">
      <c r="A10" s="13"/>
      <c r="B10" s="19" t="s">
        <v>45</v>
      </c>
      <c r="C10" s="19" t="s">
        <v>46</v>
      </c>
      <c r="D10" s="19" t="s">
        <v>45</v>
      </c>
      <c r="E10" s="19" t="s">
        <v>46</v>
      </c>
      <c r="F10" s="19" t="s">
        <v>45</v>
      </c>
      <c r="G10" s="19" t="s">
        <v>46</v>
      </c>
      <c r="H10" s="4"/>
      <c r="I10" s="4"/>
      <c r="J10" s="4"/>
      <c r="K10" s="4"/>
      <c r="L10" s="4"/>
      <c r="M10" s="4"/>
      <c r="N10" s="4"/>
      <c r="O10" s="4"/>
      <c r="P10" s="4"/>
      <c r="Q10" s="4"/>
      <c r="R10" s="4"/>
      <c r="S10" s="4"/>
      <c r="T10" s="4"/>
      <c r="U10" s="4"/>
      <c r="V10" s="4"/>
      <c r="W10" s="4"/>
      <c r="X10" s="4"/>
      <c r="Y10" s="4"/>
    </row>
    <row r="11" ht="18.0" customHeight="1">
      <c r="A11" s="27" t="s">
        <v>52</v>
      </c>
      <c r="B11" s="21">
        <v>30.0</v>
      </c>
      <c r="C11" s="22" t="s">
        <v>48</v>
      </c>
      <c r="D11" s="21">
        <v>40.0</v>
      </c>
      <c r="E11" s="22" t="s">
        <v>48</v>
      </c>
      <c r="F11" s="28">
        <v>40.0</v>
      </c>
      <c r="G11" s="22" t="s">
        <v>53</v>
      </c>
      <c r="H11" s="4"/>
      <c r="I11" s="4"/>
      <c r="J11" s="4"/>
      <c r="K11" s="4"/>
      <c r="L11" s="4"/>
      <c r="M11" s="4"/>
      <c r="N11" s="4"/>
      <c r="O11" s="4"/>
      <c r="P11" s="4"/>
      <c r="Q11" s="4"/>
      <c r="R11" s="4"/>
      <c r="S11" s="4"/>
      <c r="T11" s="4"/>
      <c r="U11" s="4"/>
      <c r="V11" s="4"/>
      <c r="W11" s="4"/>
      <c r="X11" s="4"/>
      <c r="Y11" s="4"/>
    </row>
    <row r="12" ht="18.0" customHeight="1">
      <c r="A12" s="27" t="s">
        <v>54</v>
      </c>
      <c r="B12" s="29">
        <v>123544.0</v>
      </c>
      <c r="C12" s="22" t="s">
        <v>48</v>
      </c>
      <c r="D12" s="29">
        <v>256849.0</v>
      </c>
      <c r="E12" s="22" t="s">
        <v>48</v>
      </c>
      <c r="F12" s="30">
        <v>256849.0</v>
      </c>
      <c r="G12" s="22" t="s">
        <v>53</v>
      </c>
      <c r="H12" s="4"/>
      <c r="I12" s="4"/>
      <c r="J12" s="4"/>
      <c r="K12" s="4"/>
      <c r="L12" s="4"/>
      <c r="M12" s="4"/>
      <c r="N12" s="4"/>
      <c r="O12" s="4"/>
      <c r="P12" s="4"/>
      <c r="Q12" s="4"/>
      <c r="R12" s="4"/>
      <c r="S12" s="4"/>
      <c r="T12" s="4"/>
      <c r="U12" s="4"/>
      <c r="V12" s="4"/>
      <c r="W12" s="4"/>
      <c r="X12" s="4"/>
      <c r="Y12" s="4"/>
    </row>
    <row r="13" ht="18.0" customHeight="1">
      <c r="A13" s="27" t="s">
        <v>55</v>
      </c>
      <c r="B13" s="29">
        <v>15886.0</v>
      </c>
      <c r="C13" s="22" t="s">
        <v>48</v>
      </c>
      <c r="D13" s="29">
        <v>33648.0</v>
      </c>
      <c r="E13" s="22" t="s">
        <v>48</v>
      </c>
      <c r="F13" s="30">
        <v>33648.0</v>
      </c>
      <c r="G13" s="22" t="s">
        <v>53</v>
      </c>
      <c r="H13" s="4"/>
      <c r="I13" s="4"/>
      <c r="J13" s="4"/>
      <c r="K13" s="4"/>
      <c r="L13" s="4"/>
      <c r="M13" s="4"/>
      <c r="N13" s="4"/>
      <c r="O13" s="4"/>
      <c r="P13" s="4"/>
      <c r="Q13" s="4"/>
      <c r="R13" s="4"/>
      <c r="S13" s="4"/>
      <c r="T13" s="4"/>
      <c r="U13" s="4"/>
      <c r="V13" s="4"/>
      <c r="W13" s="4"/>
      <c r="X13" s="4"/>
      <c r="Y13" s="4"/>
    </row>
    <row r="14" ht="18.0" customHeight="1">
      <c r="A14" s="27" t="s">
        <v>56</v>
      </c>
      <c r="B14" s="28">
        <v>247087.0</v>
      </c>
      <c r="C14" s="22" t="s">
        <v>57</v>
      </c>
      <c r="D14" s="29">
        <v>513698.0</v>
      </c>
      <c r="E14" s="22" t="s">
        <v>57</v>
      </c>
      <c r="F14" s="30">
        <v>513698.0</v>
      </c>
      <c r="G14" s="22" t="s">
        <v>58</v>
      </c>
      <c r="H14" s="4"/>
      <c r="I14" s="4"/>
      <c r="J14" s="4"/>
      <c r="K14" s="4"/>
      <c r="L14" s="4"/>
      <c r="M14" s="4"/>
      <c r="N14" s="4"/>
      <c r="O14" s="4"/>
      <c r="P14" s="4"/>
      <c r="Q14" s="4"/>
      <c r="R14" s="4"/>
      <c r="S14" s="4"/>
      <c r="T14" s="4"/>
      <c r="U14" s="4"/>
      <c r="V14" s="4"/>
      <c r="W14" s="4"/>
      <c r="X14" s="4"/>
      <c r="Y14" s="4"/>
    </row>
    <row r="15" ht="12.75" customHeight="1">
      <c r="A15" s="15"/>
      <c r="B15" s="15"/>
      <c r="C15" s="15"/>
      <c r="D15" s="4"/>
      <c r="E15" s="4"/>
      <c r="F15" s="4" t="s">
        <v>59</v>
      </c>
      <c r="G15" s="4"/>
      <c r="H15" s="4"/>
      <c r="I15" s="4"/>
      <c r="J15" s="4"/>
      <c r="K15" s="4"/>
      <c r="L15" s="4"/>
      <c r="M15" s="4"/>
      <c r="N15" s="4"/>
      <c r="O15" s="4"/>
      <c r="P15" s="4"/>
      <c r="Q15" s="4"/>
      <c r="R15" s="4"/>
      <c r="S15" s="4"/>
      <c r="T15" s="4"/>
      <c r="U15" s="4"/>
      <c r="V15" s="4"/>
      <c r="W15" s="4"/>
      <c r="X15" s="4"/>
      <c r="Y15" s="4"/>
    </row>
    <row r="16">
      <c r="A16" s="31" t="s">
        <v>60</v>
      </c>
      <c r="B16" s="32"/>
      <c r="C16" s="33"/>
      <c r="D16" s="4"/>
      <c r="E16" s="4"/>
      <c r="F16" s="4"/>
      <c r="G16" s="4"/>
      <c r="H16" s="4"/>
      <c r="I16" s="4"/>
      <c r="J16" s="4"/>
      <c r="K16" s="4"/>
      <c r="L16" s="4"/>
      <c r="M16" s="4"/>
      <c r="N16" s="4"/>
      <c r="O16" s="4"/>
      <c r="P16" s="4"/>
      <c r="Q16" s="4"/>
      <c r="R16" s="4"/>
      <c r="S16" s="4"/>
      <c r="T16" s="4"/>
      <c r="U16" s="4"/>
      <c r="V16" s="4"/>
      <c r="W16" s="4"/>
      <c r="X16" s="4"/>
      <c r="Y16" s="4"/>
    </row>
    <row r="17" ht="12.75" customHeight="1">
      <c r="A17" s="23"/>
      <c r="B17" s="24" t="s">
        <v>50</v>
      </c>
      <c r="C17" s="25"/>
      <c r="D17" s="24" t="s">
        <v>51</v>
      </c>
      <c r="E17" s="25"/>
      <c r="F17" s="4"/>
      <c r="G17" s="4"/>
      <c r="H17" s="4"/>
      <c r="I17" s="4"/>
      <c r="J17" s="4"/>
      <c r="K17" s="4"/>
      <c r="L17" s="4"/>
      <c r="M17" s="4"/>
      <c r="N17" s="4"/>
      <c r="O17" s="4"/>
      <c r="P17" s="4"/>
      <c r="Q17" s="4"/>
      <c r="R17" s="4"/>
      <c r="S17" s="4"/>
      <c r="T17" s="4"/>
      <c r="U17" s="4"/>
      <c r="V17" s="4"/>
      <c r="W17" s="4"/>
      <c r="X17" s="4"/>
      <c r="Y17" s="4"/>
    </row>
    <row r="18" ht="12.75" customHeight="1">
      <c r="A18" s="13"/>
      <c r="B18" s="19" t="s">
        <v>45</v>
      </c>
      <c r="C18" s="19" t="s">
        <v>46</v>
      </c>
      <c r="D18" s="19" t="s">
        <v>45</v>
      </c>
      <c r="E18" s="19" t="s">
        <v>46</v>
      </c>
      <c r="F18" s="4"/>
      <c r="G18" s="4"/>
      <c r="H18" s="4"/>
      <c r="I18" s="4"/>
      <c r="J18" s="4"/>
      <c r="K18" s="4"/>
      <c r="L18" s="4"/>
      <c r="M18" s="4"/>
      <c r="N18" s="4"/>
      <c r="O18" s="4"/>
      <c r="P18" s="4"/>
      <c r="Q18" s="4"/>
      <c r="R18" s="4"/>
      <c r="S18" s="4"/>
      <c r="T18" s="4"/>
      <c r="U18" s="4"/>
      <c r="V18" s="4"/>
      <c r="W18" s="4"/>
      <c r="X18" s="4"/>
      <c r="Y18" s="4"/>
    </row>
    <row r="19" ht="19.5" customHeight="1">
      <c r="A19" s="27" t="s">
        <v>54</v>
      </c>
      <c r="B19" s="34">
        <v>7400.0</v>
      </c>
      <c r="C19" s="35" t="s">
        <v>61</v>
      </c>
      <c r="D19" s="34">
        <v>30000.0</v>
      </c>
      <c r="E19" s="35" t="s">
        <v>61</v>
      </c>
      <c r="F19" s="15" t="s">
        <v>62</v>
      </c>
      <c r="G19" s="4"/>
      <c r="H19" s="4"/>
      <c r="I19" s="4"/>
      <c r="J19" s="4"/>
      <c r="K19" s="4"/>
      <c r="L19" s="4"/>
      <c r="M19" s="4"/>
      <c r="N19" s="4"/>
      <c r="O19" s="4"/>
      <c r="P19" s="4"/>
      <c r="Q19" s="4"/>
      <c r="R19" s="4"/>
      <c r="S19" s="4"/>
      <c r="T19" s="4"/>
      <c r="U19" s="4"/>
      <c r="V19" s="4"/>
      <c r="W19" s="4"/>
      <c r="X19" s="4"/>
      <c r="Y19" s="4"/>
    </row>
    <row r="20" ht="19.5" customHeight="1">
      <c r="A20" s="27" t="s">
        <v>63</v>
      </c>
      <c r="B20" s="34">
        <f>B19*2</f>
        <v>14800</v>
      </c>
      <c r="C20" s="35" t="s">
        <v>64</v>
      </c>
      <c r="D20" s="34">
        <f>D19*2</f>
        <v>60000</v>
      </c>
      <c r="E20" s="35" t="s">
        <v>64</v>
      </c>
      <c r="F20" s="4"/>
      <c r="G20" s="4"/>
      <c r="H20" s="4"/>
      <c r="I20" s="4"/>
      <c r="J20" s="4"/>
      <c r="K20" s="4"/>
      <c r="L20" s="4"/>
      <c r="M20" s="4"/>
      <c r="N20" s="4"/>
      <c r="O20" s="4"/>
      <c r="P20" s="4"/>
      <c r="Q20" s="4"/>
      <c r="R20" s="4"/>
      <c r="S20" s="4"/>
      <c r="T20" s="4"/>
      <c r="U20" s="4"/>
      <c r="V20" s="4"/>
      <c r="W20" s="4"/>
      <c r="X20" s="4"/>
      <c r="Y20" s="4"/>
    </row>
    <row r="21" ht="19.5" customHeight="1">
      <c r="A21" s="27" t="s">
        <v>55</v>
      </c>
      <c r="B21" s="34">
        <v>630.0</v>
      </c>
      <c r="C21" s="35" t="s">
        <v>61</v>
      </c>
      <c r="D21" s="34">
        <v>10000.0</v>
      </c>
      <c r="E21" s="35" t="s">
        <v>61</v>
      </c>
      <c r="F21" s="15" t="s">
        <v>65</v>
      </c>
      <c r="G21" s="4"/>
      <c r="H21" s="4"/>
      <c r="I21" s="4"/>
      <c r="J21" s="4"/>
      <c r="K21" s="4"/>
      <c r="L21" s="4"/>
      <c r="M21" s="4"/>
      <c r="N21" s="4"/>
      <c r="O21" s="4"/>
      <c r="P21" s="4"/>
      <c r="Q21" s="4"/>
      <c r="R21" s="4"/>
      <c r="S21" s="4"/>
      <c r="T21" s="4"/>
      <c r="U21" s="4"/>
      <c r="V21" s="4"/>
      <c r="W21" s="4"/>
      <c r="X21" s="4"/>
      <c r="Y21" s="4"/>
    </row>
    <row r="22" ht="19.5" customHeight="1">
      <c r="A22" s="27" t="s">
        <v>66</v>
      </c>
      <c r="B22" s="34">
        <f>B21*2</f>
        <v>1260</v>
      </c>
      <c r="C22" s="35" t="s">
        <v>64</v>
      </c>
      <c r="D22" s="34">
        <f>D21*2</f>
        <v>20000</v>
      </c>
      <c r="E22" s="35" t="s">
        <v>64</v>
      </c>
      <c r="F22" s="4"/>
      <c r="G22" s="4"/>
      <c r="H22" s="4"/>
      <c r="I22" s="4"/>
      <c r="J22" s="4"/>
      <c r="K22" s="4"/>
      <c r="L22" s="4"/>
      <c r="M22" s="4"/>
      <c r="N22" s="4"/>
      <c r="O22" s="4"/>
      <c r="P22" s="4"/>
      <c r="Q22" s="4"/>
      <c r="R22" s="4"/>
      <c r="S22" s="4"/>
      <c r="T22" s="4"/>
      <c r="U22" s="4"/>
      <c r="V22" s="4"/>
      <c r="W22" s="4"/>
      <c r="X22" s="4"/>
      <c r="Y22" s="4"/>
    </row>
    <row r="23" ht="12.75" customHeight="1">
      <c r="A23" s="15"/>
      <c r="B23" s="15" t="s">
        <v>67</v>
      </c>
      <c r="C23" s="15"/>
      <c r="D23" s="4"/>
      <c r="E23" s="4"/>
      <c r="F23" s="4"/>
      <c r="G23" s="4"/>
      <c r="H23" s="4"/>
      <c r="I23" s="4"/>
      <c r="J23" s="4"/>
      <c r="K23" s="4"/>
      <c r="L23" s="4"/>
      <c r="M23" s="4"/>
      <c r="N23" s="4"/>
      <c r="O23" s="4"/>
      <c r="P23" s="4"/>
      <c r="Q23" s="4"/>
      <c r="R23" s="4"/>
      <c r="S23" s="4"/>
      <c r="T23" s="4"/>
      <c r="U23" s="4"/>
      <c r="V23" s="4"/>
      <c r="W23" s="4"/>
      <c r="X23" s="4"/>
      <c r="Y23" s="4"/>
    </row>
    <row r="24" ht="12.75" customHeight="1">
      <c r="A24" s="15"/>
      <c r="B24" s="15"/>
      <c r="C24" s="15"/>
      <c r="D24" s="4"/>
      <c r="E24" s="4"/>
      <c r="F24" s="4"/>
      <c r="G24" s="4"/>
      <c r="H24" s="4"/>
      <c r="I24" s="4"/>
      <c r="J24" s="4"/>
      <c r="K24" s="4"/>
      <c r="L24" s="4"/>
      <c r="M24" s="4"/>
      <c r="N24" s="4"/>
      <c r="O24" s="4"/>
      <c r="P24" s="4"/>
      <c r="Q24" s="4"/>
      <c r="R24" s="4"/>
      <c r="S24" s="4"/>
      <c r="T24" s="4"/>
      <c r="U24" s="4"/>
      <c r="V24" s="4"/>
      <c r="W24" s="4"/>
      <c r="X24" s="4"/>
      <c r="Y24" s="4"/>
    </row>
    <row r="25" ht="12.75" customHeight="1">
      <c r="A25" s="15"/>
      <c r="B25" s="15"/>
      <c r="C25" s="15"/>
      <c r="D25" s="4"/>
      <c r="E25" s="4"/>
      <c r="F25" s="4"/>
      <c r="G25" s="4"/>
      <c r="H25" s="4"/>
      <c r="I25" s="4"/>
      <c r="J25" s="4"/>
      <c r="K25" s="4"/>
      <c r="L25" s="4"/>
      <c r="M25" s="4"/>
      <c r="N25" s="4"/>
      <c r="O25" s="4"/>
      <c r="P25" s="4"/>
      <c r="Q25" s="4"/>
      <c r="R25" s="4"/>
      <c r="S25" s="4"/>
      <c r="T25" s="4"/>
      <c r="U25" s="4"/>
      <c r="V25" s="4"/>
      <c r="W25" s="4"/>
      <c r="X25" s="4"/>
      <c r="Y25" s="4"/>
    </row>
    <row r="26" ht="12.75" customHeight="1">
      <c r="A26" s="15"/>
      <c r="B26" s="15"/>
      <c r="C26" s="15"/>
      <c r="D26" s="4"/>
      <c r="E26" s="4"/>
      <c r="F26" s="4"/>
      <c r="G26" s="4"/>
      <c r="H26" s="4"/>
      <c r="I26" s="4"/>
      <c r="J26" s="4"/>
      <c r="K26" s="4"/>
      <c r="L26" s="4"/>
      <c r="M26" s="4"/>
      <c r="N26" s="4"/>
      <c r="O26" s="4"/>
      <c r="P26" s="4"/>
      <c r="Q26" s="4"/>
      <c r="R26" s="4"/>
      <c r="S26" s="4"/>
      <c r="T26" s="4"/>
      <c r="U26" s="4"/>
      <c r="V26" s="4"/>
      <c r="W26" s="4"/>
      <c r="X26" s="4"/>
      <c r="Y26" s="4"/>
    </row>
    <row r="27" ht="15.75" customHeight="1">
      <c r="A27" s="31" t="s">
        <v>68</v>
      </c>
      <c r="B27" s="15"/>
      <c r="C27" s="15"/>
      <c r="D27" s="4"/>
      <c r="E27" s="4"/>
      <c r="F27" s="4"/>
      <c r="G27" s="4"/>
      <c r="H27" s="4"/>
      <c r="I27" s="4"/>
      <c r="J27" s="4"/>
      <c r="K27" s="4"/>
      <c r="L27" s="4"/>
      <c r="M27" s="4"/>
      <c r="N27" s="4"/>
      <c r="O27" s="4"/>
      <c r="P27" s="4"/>
      <c r="Q27" s="4"/>
      <c r="R27" s="4"/>
      <c r="S27" s="4"/>
      <c r="T27" s="4"/>
      <c r="U27" s="4"/>
      <c r="V27" s="4"/>
      <c r="W27" s="4"/>
      <c r="X27" s="4"/>
      <c r="Y27" s="4"/>
    </row>
    <row r="28" ht="57.0" customHeight="1">
      <c r="A28" s="36" t="s">
        <v>69</v>
      </c>
      <c r="B28" s="15"/>
      <c r="C28" s="15"/>
      <c r="D28" s="4"/>
      <c r="E28" s="4"/>
      <c r="F28" s="4"/>
      <c r="G28" s="4"/>
      <c r="H28" s="4"/>
      <c r="I28" s="4"/>
      <c r="J28" s="4"/>
      <c r="K28" s="4"/>
      <c r="L28" s="4"/>
      <c r="M28" s="4"/>
      <c r="N28" s="4"/>
      <c r="O28" s="4"/>
      <c r="P28" s="4"/>
      <c r="Q28" s="4"/>
      <c r="R28" s="4"/>
      <c r="S28" s="4"/>
      <c r="T28" s="4"/>
      <c r="U28" s="4"/>
      <c r="V28" s="4"/>
      <c r="W28" s="4"/>
      <c r="X28" s="4"/>
      <c r="Y28" s="4"/>
    </row>
    <row r="29" ht="14.25" customHeight="1">
      <c r="A29" s="4"/>
      <c r="B29" s="19" t="s">
        <v>45</v>
      </c>
      <c r="C29" s="19" t="s">
        <v>46</v>
      </c>
      <c r="D29" s="4"/>
      <c r="E29" s="4"/>
      <c r="F29" s="4"/>
      <c r="G29" s="4"/>
      <c r="H29" s="4"/>
      <c r="I29" s="4"/>
      <c r="J29" s="4"/>
      <c r="K29" s="4"/>
      <c r="L29" s="4"/>
      <c r="M29" s="4"/>
      <c r="N29" s="4"/>
      <c r="O29" s="4"/>
      <c r="P29" s="4"/>
      <c r="Q29" s="4"/>
      <c r="R29" s="4"/>
      <c r="S29" s="4"/>
      <c r="T29" s="4"/>
      <c r="U29" s="4"/>
      <c r="V29" s="4"/>
      <c r="W29" s="4"/>
      <c r="X29" s="4"/>
      <c r="Y29" s="4"/>
    </row>
    <row r="30" ht="19.5" customHeight="1">
      <c r="A30" s="20" t="s">
        <v>70</v>
      </c>
      <c r="B30" s="22">
        <v>1.0</v>
      </c>
      <c r="C30" s="22" t="s">
        <v>71</v>
      </c>
      <c r="D30" s="4"/>
      <c r="E30" s="4"/>
      <c r="F30" s="4"/>
      <c r="G30" s="4"/>
      <c r="H30" s="4"/>
      <c r="I30" s="4"/>
      <c r="J30" s="4"/>
      <c r="K30" s="4"/>
      <c r="L30" s="4"/>
      <c r="M30" s="4"/>
      <c r="N30" s="4"/>
      <c r="O30" s="4"/>
      <c r="P30" s="4"/>
      <c r="Q30" s="4"/>
      <c r="R30" s="4"/>
      <c r="S30" s="4"/>
      <c r="T30" s="4"/>
      <c r="U30" s="4"/>
      <c r="V30" s="4"/>
      <c r="W30" s="4"/>
      <c r="X30" s="4"/>
      <c r="Y30" s="4"/>
    </row>
    <row r="31" ht="12.75" customHeight="1">
      <c r="A31" s="15"/>
      <c r="B31" s="15"/>
      <c r="C31" s="15"/>
      <c r="D31" s="4"/>
      <c r="E31" s="4"/>
      <c r="F31" s="4"/>
      <c r="G31" s="4"/>
      <c r="H31" s="4"/>
      <c r="I31" s="4"/>
      <c r="J31" s="4"/>
      <c r="K31" s="4"/>
      <c r="L31" s="4"/>
      <c r="M31" s="4"/>
      <c r="N31" s="4"/>
      <c r="O31" s="4"/>
      <c r="P31" s="4"/>
      <c r="Q31" s="4"/>
      <c r="R31" s="4"/>
      <c r="S31" s="4"/>
      <c r="T31" s="4"/>
      <c r="U31" s="4"/>
      <c r="V31" s="4"/>
      <c r="W31" s="4"/>
      <c r="X31" s="4"/>
      <c r="Y31" s="4"/>
    </row>
    <row r="32" ht="12.75" customHeight="1">
      <c r="A32" s="15" t="s">
        <v>72</v>
      </c>
      <c r="B32" s="15"/>
      <c r="C32" s="15"/>
      <c r="D32" s="4"/>
      <c r="E32" s="4"/>
      <c r="F32" s="4"/>
      <c r="G32" s="4"/>
      <c r="H32" s="4"/>
      <c r="I32" s="4"/>
      <c r="J32" s="4"/>
      <c r="K32" s="4"/>
      <c r="L32" s="4"/>
      <c r="M32" s="4"/>
      <c r="N32" s="4"/>
      <c r="O32" s="4"/>
      <c r="P32" s="4"/>
      <c r="Q32" s="4"/>
      <c r="R32" s="4"/>
      <c r="S32" s="4"/>
      <c r="T32" s="4"/>
      <c r="U32" s="4"/>
      <c r="V32" s="4"/>
      <c r="W32" s="4"/>
      <c r="X32" s="4"/>
      <c r="Y32" s="4"/>
    </row>
    <row r="33" ht="30.75" customHeight="1">
      <c r="A33" s="37" t="s">
        <v>73</v>
      </c>
      <c r="B33" s="22">
        <v>2.0</v>
      </c>
      <c r="C33" s="22" t="s">
        <v>71</v>
      </c>
      <c r="D33" s="15" t="s">
        <v>74</v>
      </c>
      <c r="E33" s="4"/>
      <c r="F33" s="4"/>
      <c r="G33" s="4"/>
      <c r="H33" s="4"/>
      <c r="I33" s="4"/>
      <c r="J33" s="4"/>
      <c r="K33" s="4"/>
      <c r="L33" s="4"/>
      <c r="M33" s="4"/>
      <c r="N33" s="4"/>
      <c r="O33" s="4"/>
      <c r="P33" s="4"/>
      <c r="Q33" s="4"/>
      <c r="R33" s="4"/>
      <c r="S33" s="4"/>
      <c r="T33" s="4"/>
      <c r="U33" s="4"/>
      <c r="V33" s="4"/>
      <c r="W33" s="4"/>
      <c r="X33" s="4"/>
      <c r="Y33" s="4"/>
    </row>
    <row r="34" ht="30.75" customHeight="1">
      <c r="A34" s="38" t="s">
        <v>75</v>
      </c>
      <c r="B34" s="22">
        <v>1.0</v>
      </c>
      <c r="C34" s="22" t="s">
        <v>71</v>
      </c>
      <c r="D34" s="15" t="s">
        <v>74</v>
      </c>
      <c r="E34" s="4"/>
      <c r="F34" s="4"/>
      <c r="G34" s="4"/>
      <c r="H34" s="4"/>
      <c r="I34" s="4"/>
      <c r="J34" s="4"/>
      <c r="K34" s="4"/>
      <c r="L34" s="4"/>
      <c r="M34" s="4"/>
      <c r="N34" s="4"/>
      <c r="O34" s="4"/>
      <c r="P34" s="4"/>
      <c r="Q34" s="4"/>
      <c r="R34" s="4"/>
      <c r="S34" s="4"/>
      <c r="T34" s="4"/>
      <c r="U34" s="4"/>
      <c r="V34" s="4"/>
      <c r="W34" s="4"/>
      <c r="X34" s="4"/>
      <c r="Y34" s="4"/>
    </row>
    <row r="35" ht="30.75" customHeight="1">
      <c r="A35" s="37" t="s">
        <v>76</v>
      </c>
      <c r="B35" s="22">
        <v>2.0</v>
      </c>
      <c r="C35" s="22" t="s">
        <v>71</v>
      </c>
      <c r="D35" s="15" t="s">
        <v>74</v>
      </c>
      <c r="E35" s="4"/>
      <c r="F35" s="4"/>
      <c r="G35" s="4"/>
      <c r="H35" s="4"/>
      <c r="I35" s="4"/>
      <c r="J35" s="4"/>
      <c r="K35" s="4"/>
      <c r="L35" s="4"/>
      <c r="M35" s="4"/>
      <c r="N35" s="4"/>
      <c r="O35" s="4"/>
      <c r="P35" s="4"/>
      <c r="Q35" s="4"/>
      <c r="R35" s="4"/>
      <c r="S35" s="4"/>
      <c r="T35" s="4"/>
      <c r="U35" s="4"/>
      <c r="V35" s="4"/>
      <c r="W35" s="4"/>
      <c r="X35" s="4"/>
      <c r="Y35" s="4"/>
    </row>
    <row r="36" ht="30.75" customHeight="1">
      <c r="A36" s="37" t="s">
        <v>77</v>
      </c>
      <c r="B36" s="22">
        <v>2.0</v>
      </c>
      <c r="C36" s="22" t="s">
        <v>71</v>
      </c>
      <c r="D36" s="15" t="s">
        <v>74</v>
      </c>
      <c r="E36" s="4"/>
      <c r="F36" s="4"/>
      <c r="G36" s="4"/>
      <c r="H36" s="4"/>
      <c r="I36" s="4"/>
      <c r="J36" s="4"/>
      <c r="K36" s="4"/>
      <c r="L36" s="4"/>
      <c r="M36" s="4"/>
      <c r="N36" s="4"/>
      <c r="O36" s="4"/>
      <c r="P36" s="4"/>
      <c r="Q36" s="4"/>
      <c r="R36" s="4"/>
      <c r="S36" s="4"/>
      <c r="T36" s="4"/>
      <c r="U36" s="4"/>
      <c r="V36" s="4"/>
      <c r="W36" s="4"/>
      <c r="X36" s="4"/>
      <c r="Y36" s="4"/>
    </row>
    <row r="37" ht="30.75" customHeight="1">
      <c r="A37" s="37" t="s">
        <v>78</v>
      </c>
      <c r="B37" s="22">
        <v>20.0</v>
      </c>
      <c r="C37" s="22" t="s">
        <v>71</v>
      </c>
      <c r="D37" s="15" t="s">
        <v>74</v>
      </c>
      <c r="E37" s="4"/>
      <c r="F37" s="4"/>
      <c r="G37" s="4"/>
      <c r="H37" s="4"/>
      <c r="I37" s="4"/>
      <c r="J37" s="4"/>
      <c r="K37" s="4"/>
      <c r="L37" s="4"/>
      <c r="M37" s="4"/>
      <c r="N37" s="4"/>
      <c r="O37" s="4"/>
      <c r="P37" s="4"/>
      <c r="Q37" s="4"/>
      <c r="R37" s="4"/>
      <c r="S37" s="4"/>
      <c r="T37" s="4"/>
      <c r="U37" s="4"/>
      <c r="V37" s="4"/>
      <c r="W37" s="4"/>
      <c r="X37" s="4"/>
      <c r="Y37" s="4"/>
    </row>
    <row r="38">
      <c r="A38" s="37" t="s">
        <v>79</v>
      </c>
      <c r="B38" s="22">
        <v>0.8</v>
      </c>
      <c r="C38" s="39" t="s">
        <v>80</v>
      </c>
      <c r="D38" s="15" t="s">
        <v>74</v>
      </c>
      <c r="E38" s="4"/>
      <c r="F38" s="4">
        <f>1260</f>
        <v>1260</v>
      </c>
      <c r="G38" s="4">
        <f t="shared" ref="G38:G39" si="1">F38*120</f>
        <v>151200</v>
      </c>
      <c r="H38" s="4">
        <f t="shared" ref="H38:H39" si="2">G38/60/60</f>
        <v>42</v>
      </c>
      <c r="I38" s="4">
        <f t="shared" ref="I38:I39" si="3">H38/100</f>
        <v>0.42</v>
      </c>
      <c r="J38" s="4"/>
      <c r="K38" s="4"/>
      <c r="L38" s="4"/>
      <c r="M38" s="4"/>
      <c r="N38" s="4"/>
      <c r="O38" s="4"/>
      <c r="P38" s="4"/>
      <c r="Q38" s="4"/>
      <c r="R38" s="4"/>
      <c r="S38" s="4"/>
      <c r="T38" s="4"/>
      <c r="U38" s="4"/>
      <c r="V38" s="4"/>
      <c r="W38" s="4"/>
      <c r="X38" s="4"/>
      <c r="Y38" s="4"/>
    </row>
    <row r="39">
      <c r="A39" s="37" t="s">
        <v>81</v>
      </c>
      <c r="B39" s="22">
        <v>6.5</v>
      </c>
      <c r="C39" s="39" t="s">
        <v>71</v>
      </c>
      <c r="D39" s="15" t="s">
        <v>74</v>
      </c>
      <c r="E39" s="4"/>
      <c r="F39" s="4">
        <v>20000.0</v>
      </c>
      <c r="G39" s="4">
        <f t="shared" si="1"/>
        <v>2400000</v>
      </c>
      <c r="H39" s="4">
        <f t="shared" si="2"/>
        <v>666.6666667</v>
      </c>
      <c r="I39" s="4">
        <f t="shared" si="3"/>
        <v>6.666666667</v>
      </c>
      <c r="J39" s="4"/>
      <c r="K39" s="4"/>
      <c r="L39" s="4"/>
      <c r="M39" s="4"/>
      <c r="N39" s="4"/>
      <c r="O39" s="4"/>
      <c r="P39" s="4"/>
      <c r="Q39" s="4"/>
      <c r="R39" s="4"/>
      <c r="S39" s="4"/>
      <c r="T39" s="4"/>
      <c r="U39" s="4"/>
      <c r="V39" s="4"/>
      <c r="W39" s="4"/>
      <c r="X39" s="4"/>
      <c r="Y39" s="4"/>
    </row>
    <row r="40" ht="12.75" customHeight="1">
      <c r="A40" s="15"/>
      <c r="B40" s="15"/>
      <c r="C40" s="15"/>
      <c r="D40" s="4"/>
      <c r="E40" s="4"/>
      <c r="F40" s="4"/>
      <c r="G40" s="4"/>
      <c r="H40" s="4"/>
      <c r="I40" s="4"/>
      <c r="J40" s="4"/>
      <c r="K40" s="4"/>
      <c r="L40" s="4"/>
      <c r="M40" s="4"/>
      <c r="N40" s="4"/>
      <c r="O40" s="4"/>
      <c r="P40" s="4"/>
      <c r="Q40" s="4"/>
      <c r="R40" s="4"/>
      <c r="S40" s="4"/>
      <c r="T40" s="4"/>
      <c r="U40" s="4"/>
      <c r="V40" s="4"/>
      <c r="W40" s="4"/>
      <c r="X40" s="4"/>
      <c r="Y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9:A10"/>
    <mergeCell ref="B9:C9"/>
    <mergeCell ref="D9:G9"/>
    <mergeCell ref="A17:A18"/>
    <mergeCell ref="B17:C17"/>
    <mergeCell ref="D17:E17"/>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3.5"/>
    <col customWidth="1" min="2" max="2" width="12.5"/>
    <col customWidth="1" min="3" max="3" width="17.75"/>
    <col customWidth="1" min="4" max="4" width="12.5"/>
    <col customWidth="1" min="5" max="5" width="14.88"/>
    <col customWidth="1" min="6" max="26" width="12.5"/>
  </cols>
  <sheetData>
    <row r="1" ht="15.75" customHeight="1">
      <c r="A1" s="40" t="s">
        <v>82</v>
      </c>
      <c r="B1" s="41"/>
      <c r="C1" s="41"/>
      <c r="D1" s="41"/>
      <c r="E1" s="41"/>
      <c r="F1" s="41"/>
      <c r="G1" s="41"/>
      <c r="H1" s="41"/>
      <c r="I1" s="41"/>
      <c r="J1" s="41"/>
      <c r="K1" s="41"/>
      <c r="L1" s="41"/>
      <c r="M1" s="41"/>
      <c r="N1" s="41"/>
      <c r="O1" s="41"/>
      <c r="P1" s="41"/>
      <c r="Q1" s="41"/>
      <c r="R1" s="41"/>
      <c r="S1" s="41"/>
      <c r="T1" s="41"/>
      <c r="U1" s="41"/>
      <c r="V1" s="41"/>
      <c r="W1" s="41"/>
      <c r="X1" s="41"/>
      <c r="Y1" s="41"/>
      <c r="Z1" s="41"/>
    </row>
    <row r="2" ht="15.75" customHeight="1">
      <c r="A2" s="42" t="s">
        <v>83</v>
      </c>
      <c r="B2" s="22">
        <v>105.0</v>
      </c>
      <c r="C2" s="22" t="s">
        <v>84</v>
      </c>
      <c r="D2" s="41"/>
      <c r="E2" s="41"/>
      <c r="F2" s="41"/>
      <c r="G2" s="41"/>
      <c r="H2" s="41"/>
      <c r="I2" s="41"/>
      <c r="J2" s="41"/>
      <c r="K2" s="41"/>
      <c r="L2" s="41"/>
      <c r="M2" s="41"/>
      <c r="N2" s="41"/>
      <c r="O2" s="41"/>
      <c r="P2" s="41"/>
      <c r="Q2" s="41"/>
      <c r="R2" s="41"/>
      <c r="S2" s="41"/>
      <c r="T2" s="41"/>
      <c r="U2" s="41"/>
      <c r="V2" s="41"/>
      <c r="W2" s="41"/>
      <c r="X2" s="41"/>
      <c r="Y2" s="41"/>
      <c r="Z2" s="41"/>
    </row>
    <row r="3" ht="15.75" customHeight="1">
      <c r="A3" s="42" t="s">
        <v>85</v>
      </c>
      <c r="B3" s="43">
        <v>58000.0</v>
      </c>
      <c r="C3" s="22" t="s">
        <v>86</v>
      </c>
      <c r="D3" s="41"/>
      <c r="E3" s="41"/>
      <c r="F3" s="41"/>
      <c r="G3" s="41"/>
      <c r="H3" s="41"/>
      <c r="I3" s="41"/>
      <c r="J3" s="41"/>
      <c r="K3" s="41"/>
      <c r="L3" s="41"/>
      <c r="M3" s="41"/>
      <c r="N3" s="41"/>
      <c r="O3" s="41"/>
      <c r="P3" s="41"/>
      <c r="Q3" s="41"/>
      <c r="R3" s="41"/>
      <c r="S3" s="41"/>
      <c r="T3" s="41"/>
      <c r="U3" s="41"/>
      <c r="V3" s="41"/>
      <c r="W3" s="41"/>
      <c r="X3" s="41"/>
      <c r="Y3" s="41"/>
      <c r="Z3" s="41"/>
    </row>
    <row r="4" ht="15.75" customHeight="1">
      <c r="A4" s="44" t="s">
        <v>87</v>
      </c>
      <c r="B4" s="45">
        <v>1200.0</v>
      </c>
      <c r="C4" s="46" t="s">
        <v>86</v>
      </c>
      <c r="D4" s="41"/>
      <c r="E4" s="41"/>
      <c r="F4" s="41"/>
      <c r="G4" s="41"/>
      <c r="H4" s="41"/>
      <c r="I4" s="41"/>
      <c r="J4" s="41"/>
      <c r="K4" s="41"/>
      <c r="L4" s="41"/>
      <c r="M4" s="41"/>
      <c r="N4" s="41"/>
      <c r="O4" s="41"/>
      <c r="P4" s="41"/>
      <c r="Q4" s="41"/>
      <c r="R4" s="41"/>
      <c r="S4" s="41"/>
      <c r="T4" s="41"/>
      <c r="U4" s="41"/>
      <c r="V4" s="41"/>
      <c r="W4" s="41"/>
      <c r="X4" s="41"/>
      <c r="Y4" s="41"/>
      <c r="Z4" s="41"/>
    </row>
    <row r="5" ht="15.75" customHeight="1">
      <c r="A5" s="42" t="s">
        <v>88</v>
      </c>
      <c r="B5" s="35">
        <v>150.0</v>
      </c>
      <c r="C5" s="35" t="s">
        <v>86</v>
      </c>
      <c r="D5" s="41"/>
      <c r="E5" s="41"/>
      <c r="F5" s="41"/>
      <c r="G5" s="41"/>
      <c r="H5" s="41"/>
      <c r="I5" s="41"/>
      <c r="J5" s="41"/>
      <c r="K5" s="41"/>
      <c r="L5" s="41"/>
      <c r="M5" s="41"/>
      <c r="N5" s="41"/>
      <c r="O5" s="41"/>
      <c r="P5" s="41"/>
      <c r="Q5" s="41"/>
      <c r="R5" s="41"/>
      <c r="S5" s="41"/>
      <c r="T5" s="41"/>
      <c r="U5" s="41"/>
      <c r="V5" s="41"/>
      <c r="W5" s="41"/>
      <c r="X5" s="41"/>
      <c r="Y5" s="41"/>
      <c r="Z5" s="41"/>
    </row>
    <row r="6" ht="15.75" customHeight="1">
      <c r="A6" s="42" t="s">
        <v>89</v>
      </c>
      <c r="B6" s="47">
        <f>550000 / 365 / 24</f>
        <v>62.78538813</v>
      </c>
      <c r="C6" s="35" t="s">
        <v>90</v>
      </c>
      <c r="D6" s="41"/>
      <c r="E6" s="41"/>
      <c r="F6" s="41"/>
      <c r="G6" s="41"/>
      <c r="H6" s="41"/>
      <c r="I6" s="41"/>
      <c r="J6" s="41"/>
      <c r="K6" s="41"/>
      <c r="L6" s="41"/>
      <c r="M6" s="41"/>
      <c r="N6" s="41"/>
      <c r="O6" s="41"/>
      <c r="P6" s="41"/>
      <c r="Q6" s="41"/>
      <c r="R6" s="41"/>
      <c r="S6" s="41"/>
      <c r="T6" s="41"/>
      <c r="U6" s="41"/>
      <c r="V6" s="41"/>
      <c r="W6" s="41"/>
      <c r="X6" s="41"/>
      <c r="Y6" s="41"/>
      <c r="Z6" s="41"/>
    </row>
    <row r="7" ht="15.75" customHeight="1">
      <c r="A7" s="15"/>
      <c r="B7" s="15"/>
      <c r="C7" s="15"/>
      <c r="D7" s="41"/>
      <c r="E7" s="41"/>
      <c r="F7" s="41"/>
      <c r="G7" s="41"/>
      <c r="H7" s="41"/>
      <c r="I7" s="41"/>
      <c r="J7" s="41"/>
      <c r="K7" s="41"/>
      <c r="L7" s="41"/>
      <c r="M7" s="41"/>
      <c r="N7" s="41"/>
      <c r="O7" s="41"/>
      <c r="P7" s="41"/>
      <c r="Q7" s="41"/>
      <c r="R7" s="41"/>
      <c r="S7" s="41"/>
      <c r="T7" s="41"/>
      <c r="U7" s="41"/>
      <c r="V7" s="41"/>
      <c r="W7" s="41"/>
      <c r="X7" s="41"/>
      <c r="Y7" s="41"/>
      <c r="Z7" s="41"/>
    </row>
    <row r="8" ht="15.75" customHeight="1">
      <c r="A8" s="40" t="s">
        <v>91</v>
      </c>
      <c r="B8" s="41" t="s">
        <v>92</v>
      </c>
      <c r="C8" s="41"/>
      <c r="D8" s="41"/>
      <c r="E8" s="41"/>
      <c r="F8" s="48"/>
      <c r="G8" s="41"/>
      <c r="H8" s="41"/>
      <c r="I8" s="41"/>
      <c r="J8" s="41"/>
      <c r="K8" s="41"/>
      <c r="L8" s="41"/>
      <c r="M8" s="41"/>
      <c r="N8" s="41"/>
      <c r="O8" s="41"/>
      <c r="P8" s="41"/>
      <c r="Q8" s="41"/>
      <c r="R8" s="41"/>
      <c r="S8" s="41"/>
      <c r="T8" s="41"/>
      <c r="U8" s="41"/>
      <c r="V8" s="41"/>
      <c r="W8" s="41"/>
      <c r="X8" s="41"/>
      <c r="Y8" s="41"/>
      <c r="Z8" s="41"/>
    </row>
    <row r="9" ht="15.75" customHeight="1">
      <c r="A9" s="42" t="s">
        <v>93</v>
      </c>
      <c r="B9" s="49">
        <v>0.002</v>
      </c>
      <c r="C9" s="50">
        <v>5421600.0</v>
      </c>
      <c r="D9" s="51">
        <f t="shared" ref="D9:D10" si="1">C9*B9/1024</f>
        <v>10.5890625</v>
      </c>
      <c r="E9" s="22" t="s">
        <v>94</v>
      </c>
      <c r="F9" s="48"/>
      <c r="G9" s="41"/>
      <c r="H9" s="41"/>
      <c r="I9" s="41"/>
      <c r="J9" s="41"/>
      <c r="K9" s="41"/>
      <c r="L9" s="41"/>
      <c r="M9" s="41"/>
      <c r="N9" s="41"/>
      <c r="O9" s="41"/>
      <c r="P9" s="41"/>
      <c r="Q9" s="41"/>
      <c r="R9" s="41"/>
      <c r="S9" s="41"/>
      <c r="T9" s="41"/>
      <c r="U9" s="41"/>
      <c r="V9" s="41"/>
      <c r="W9" s="41"/>
      <c r="X9" s="41"/>
      <c r="Y9" s="41"/>
      <c r="Z9" s="41"/>
    </row>
    <row r="10" ht="15.75" customHeight="1">
      <c r="A10" s="42" t="s">
        <v>95</v>
      </c>
      <c r="B10" s="49">
        <v>0.002</v>
      </c>
      <c r="C10" s="50">
        <v>110000.0</v>
      </c>
      <c r="D10" s="51">
        <f t="shared" si="1"/>
        <v>0.21484375</v>
      </c>
      <c r="E10" s="22" t="s">
        <v>94</v>
      </c>
      <c r="F10" s="41"/>
      <c r="G10" s="41"/>
      <c r="H10" s="41"/>
      <c r="I10" s="41"/>
      <c r="J10" s="41"/>
      <c r="K10" s="41"/>
      <c r="L10" s="41"/>
      <c r="M10" s="41"/>
      <c r="N10" s="41"/>
      <c r="O10" s="41"/>
      <c r="P10" s="41"/>
      <c r="Q10" s="41"/>
      <c r="R10" s="41"/>
      <c r="S10" s="41"/>
      <c r="T10" s="41"/>
      <c r="U10" s="41"/>
      <c r="V10" s="41"/>
      <c r="W10" s="41"/>
      <c r="X10" s="41"/>
      <c r="Y10" s="41"/>
      <c r="Z10" s="41"/>
    </row>
    <row r="11" ht="15.75" customHeight="1">
      <c r="A11" s="15"/>
      <c r="B11" s="15"/>
      <c r="C11" s="15" t="s">
        <v>96</v>
      </c>
      <c r="D11" s="52">
        <f>SUM(D9:D10)</f>
        <v>10.80390625</v>
      </c>
      <c r="E11" s="22" t="s">
        <v>94</v>
      </c>
      <c r="F11" s="41"/>
      <c r="G11" s="41"/>
      <c r="H11" s="41"/>
      <c r="I11" s="41"/>
      <c r="J11" s="41"/>
      <c r="K11" s="41"/>
      <c r="L11" s="41"/>
      <c r="M11" s="41"/>
      <c r="N11" s="41"/>
      <c r="O11" s="41"/>
      <c r="P11" s="41"/>
      <c r="Q11" s="41"/>
      <c r="R11" s="41"/>
      <c r="S11" s="41"/>
      <c r="T11" s="41"/>
      <c r="U11" s="41"/>
      <c r="V11" s="41"/>
      <c r="W11" s="41"/>
      <c r="X11" s="41"/>
      <c r="Y11" s="41"/>
      <c r="Z11" s="41"/>
    </row>
    <row r="12" ht="15.75" customHeight="1">
      <c r="A12" s="41"/>
      <c r="B12" s="41"/>
      <c r="C12" s="41"/>
      <c r="D12" s="53"/>
      <c r="E12" s="48"/>
      <c r="F12" s="48"/>
      <c r="G12" s="48"/>
      <c r="H12" s="41"/>
      <c r="I12" s="41"/>
      <c r="J12" s="41"/>
      <c r="K12" s="41"/>
      <c r="L12" s="41"/>
      <c r="M12" s="41"/>
      <c r="N12" s="41"/>
      <c r="O12" s="41"/>
      <c r="P12" s="41"/>
      <c r="Q12" s="41"/>
      <c r="R12" s="41"/>
      <c r="S12" s="41"/>
      <c r="T12" s="41"/>
      <c r="U12" s="41"/>
      <c r="V12" s="41"/>
      <c r="W12" s="41"/>
      <c r="X12" s="41"/>
      <c r="Y12" s="41"/>
      <c r="Z12" s="41"/>
    </row>
    <row r="13" ht="15.75" customHeight="1">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ht="15.75" customHeight="1">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ht="15.75" customHeight="1">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ht="15.75" customHeight="1">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ht="15.75"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ht="15.75" customHeight="1">
      <c r="A18" s="48"/>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ht="15.7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ht="15.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2026-06-28T11:50:29Z</dcterms:created>
</cp:coreProperties>
</file>